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ea4f7e48e241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下载清单" sheetId="1" r:id="Rfcffdcb4928641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yyyy-mm-dd"/>
  </x:numFmts>
  <x:fonts count="6">
    <x:font>
      <x:sz val="11"/>
      <x:name val="Carlito"/>
    </x:font>
    <x:font>
      <x:sz val="11"/>
      <x:color rgb="FF24344B"/>
      <x:name val="Arial"/>
    </x:font>
    <x:font>
      <x:b/>
      <x:sz val="16"/>
      <x:color rgb="FF172B49"/>
      <x:name val="Arial"/>
    </x:font>
    <x:font>
      <x:sz val="11"/>
      <x:color rgb="FF5A687C"/>
      <x:name val="Arial"/>
    </x:font>
    <x:font>
      <x:b/>
      <x:sz val="11"/>
      <x:color rgb="FFFFFFFF"/>
      <x:name val="Arial"/>
    </x:font>
    <x:font>
      <x:sz val="11"/>
      <x:color rgb="FF2359A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DF2FA"/>
      </x:patternFill>
    </x:fill>
    <x:fill>
      <x:patternFill patternType="solid">
        <x:fgColor rgb="FF172B49"/>
      </x:patternFill>
    </x:fill>
    <x:fill>
      <x:patternFill patternType="solid">
        <x:fgColor rgb="FFFFF2CD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8A5115"/>
      </x:font>
      <x:fill>
        <x:patternFill>
          <x:bgColor rgb="FFFFF2DC"/>
        </x:patternFill>
      </x:fill>
    </x:dxf>
    <x:dxf>
      <x:font>
        <x:color rgb="FF216754"/>
      </x:font>
      <x:fill>
        <x:patternFill>
          <x:bgColor rgb="FFE6F1EE"/>
        </x:patternFill>
      </x:fill>
    </x:dxf>
    <x:dxf>
      <x:font>
        <x:color rgb="FF216754"/>
      </x:font>
      <x:fill>
        <x:patternFill>
          <x:bgColor rgb="FFE6F1EE"/>
        </x:patternFill>
      </x:fill>
    </x:dxf>
    <x:dxf>
      <x:font>
        <x:color rgb="FF216754"/>
      </x:font>
      <x:fill>
        <x:patternFill patternType="solid">
          <x:bgColor rgb="FFE4F2EE"/>
        </x:patternFill>
      </x:fill>
    </x:dxf>
    <x:dxf>
      <x:font>
        <x:color rgb="FF216754"/>
      </x:font>
      <x:fill>
        <x:patternFill patternType="solid">
          <x:bgColor rgb="FFE4F2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48da03431b4445" /><Relationship Type="http://schemas.openxmlformats.org/officeDocument/2006/relationships/theme" Target="/xl/theme/theme1.xml" Id="R66f77e4722934483" /><Relationship Type="http://schemas.openxmlformats.org/officeDocument/2006/relationships/sharedStrings" Target="/xl/sharedStrings.xml" Id="Rd0e17c11f87e47f9" /><Relationship Type="http://schemas.openxmlformats.org/officeDocument/2006/relationships/worksheet" Target="/xl/worksheets/sheet1.xml" Id="Rfcffdcb492864178" /></Relationships>
</file>

<file path=xl/tables/table1.xml><?xml version="1.0" encoding="utf-8"?>
<x:table xmlns:x="http://schemas.openxmlformats.org/spreadsheetml/2006/main" id="1" name="LiteratureDownloads" displayName="LiteratureDownloads" ref="A8:U974" headerRowCount="1" totalsRowCount="0" totalsRowShown="0">
  <x:autoFilter ref="A8:U974"/>
  <x:tableColumns count="21">
    <x:tableColumn id="1" name="清单编号"/>
    <x:tableColumn id="2" name="文件状态"/>
    <x:tableColumn id="3" name="题名 / Title"/>
    <x:tableColumn id="4" name="语言"/>
    <x:tableColumn id="5" name="我的下载进度"/>
    <x:tableColumn id="6" name="我的文件名"/>
    <x:tableColumn id="7" name="来源网址（可复制）"/>
    <x:tableColumn id="8" name="关联方法编号"/>
    <x:tableColumn id="9" name="作者 / 提供方"/>
    <x:tableColumn id="10" name="年份"/>
    <x:tableColumn id="11" name="材料类型"/>
    <x:tableColumn id="12" name="阅读顺序"/>
    <x:tableColumn id="13" name="状态说明"/>
    <x:tableColumn id="14" name="需要做什么"/>
    <x:tableColumn id="15" name="阅读用途"/>
    <x:tableColumn id="16" name="DOI"/>
    <x:tableColumn id="17" name="本地相对文件"/>
    <x:tableColumn id="18" name="文件大小 / MB"/>
    <x:tableColumn id="19" name="SHA256"/>
    <x:tableColumn id="20" name="版权与使用条件"/>
    <x:tableColumn id="21" name="检查日期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e620e62efa349ba" /></Relationships>
</file>

<file path=xl/worksheets/sheet1.xml><?xml version="1.0" encoding="utf-8"?>
<x:worksheet xmlns:x="http://schemas.openxmlformats.org/spreadsheetml/2006/main">
  <x:sheetPr>
    <x:tabColor rgb="FF172B49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7" hidden="0" customWidth="1"/>
    <x:col min="2" max="2" width="16" hidden="0" customWidth="1"/>
    <x:col min="3" max="3" width="64" hidden="0" customWidth="1"/>
    <x:col min="4" max="4" width="9" hidden="0" customWidth="1"/>
    <x:col min="5" max="5" width="17" hidden="0" customWidth="1"/>
    <x:col min="6" max="6" width="29" hidden="0" customWidth="1"/>
    <x:col min="7" max="7" width="48" hidden="0" customWidth="1"/>
    <x:col min="8" max="8" width="28" hidden="0" customWidth="1"/>
    <x:col min="9" max="9" width="32" hidden="0" customWidth="1"/>
    <x:col min="10" max="10" width="10" hidden="0" customWidth="1"/>
    <x:col min="11" max="11" width="25" hidden="0" customWidth="1"/>
    <x:col min="12" max="12" width="12" hidden="0" customWidth="1"/>
    <x:col min="13" max="13" width="48" hidden="0" customWidth="1"/>
    <x:col min="14" max="14" width="58" hidden="0" customWidth="1"/>
    <x:col min="15" max="15" width="64" hidden="0" customWidth="1"/>
    <x:col min="16" max="16" width="36" hidden="0" customWidth="1"/>
    <x:col min="17" max="17" width="37" hidden="0" customWidth="1"/>
    <x:col min="18" max="18" width="17" hidden="0" customWidth="1"/>
    <x:col min="19" max="19" width="69" hidden="0" customWidth="1"/>
    <x:col min="20" max="20" width="58" hidden="0" customWidth="1"/>
    <x:col min="21" max="21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30" customHeight="1">
      <x:c r="A2" s="3" t="str">
        <x:v>社会科学量化方法学自学图谱 · 文献下载清单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22" customHeight="1">
      <x:c r="A3" s="4" t="str">
        <x:v>检查日期：2026-10-08。先筛选“需人工获取”；下载后在黄色列登记，提交时保留清单编号与原始文件。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</x:row>
    <x:row r="4" ht="22" customHeight="1">
      <x:c r="A4" s="4" t="str">
        <x:v>“需人工获取”表示本次未取得全文，不等于文献不存在或必然无法下载；网页响应也不代表有全文权限。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</x:row>
    <x:row r="5" ht="22" customHeight="1">
      <x:c r="A5" s="4" t="str">
        <x:v>内置文件无需重复下载；在线阅读项是网页教程/章节。作者公开稿与期刊正式版的区别见“阅读用途”。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</x:row>
    <x:row r="6" ht="28" customHeight="1">
      <x:c r="A6" s="5" t="str">
        <x:v>待取得全文</x:v>
      </x:c>
      <x:c r="B6" s="5" t="n">
        <x:f>COUNTIFS(B9:B974,"需人工获取")+COUNTIFS(B9:B974,"待下载")</x:f>
        <x:v>482</x:v>
      </x:c>
      <x:c r="C6" s="5" t="str">
        <x:v>已随应用内置</x:v>
      </x:c>
      <x:c r="D6" s="5" t="n">
        <x:f>COUNTIFS(B9:B974,"已内置")</x:f>
        <x:v>73</x:v>
      </x:c>
      <x:c r="E6" s="5" t="str">
        <x:v>已登记下载</x:v>
      </x:c>
      <x:c r="F6" s="5" t="n">
        <x:f>COUNTIFS(E9:E974,"已下载")</x:f>
        <x:v>0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4" customHeight="1">
      <x:c r="A8" s="11" t="str">
        <x:v>清单编号</x:v>
      </x:c>
      <x:c r="B8" s="12" t="str">
        <x:v>文件状态</x:v>
      </x:c>
      <x:c r="C8" s="12" t="str">
        <x:v>题名 / Title</x:v>
      </x:c>
      <x:c r="D8" s="12" t="str">
        <x:v>语言</x:v>
      </x:c>
      <x:c r="E8" s="12" t="str">
        <x:v>我的下载进度</x:v>
      </x:c>
      <x:c r="F8" s="12" t="str">
        <x:v>我的文件名</x:v>
      </x:c>
      <x:c r="G8" s="12" t="str">
        <x:v>来源网址（可复制）</x:v>
      </x:c>
      <x:c r="H8" s="12" t="str">
        <x:v>关联方法编号</x:v>
      </x:c>
      <x:c r="I8" s="12" t="str">
        <x:v>作者 / 提供方</x:v>
      </x:c>
      <x:c r="J8" s="12" t="str">
        <x:v>年份</x:v>
      </x:c>
      <x:c r="K8" s="12" t="str">
        <x:v>材料类型</x:v>
      </x:c>
      <x:c r="L8" s="12" t="str">
        <x:v>阅读顺序</x:v>
      </x:c>
      <x:c r="M8" s="12" t="str">
        <x:v>状态说明</x:v>
      </x:c>
      <x:c r="N8" s="12" t="str">
        <x:v>需要做什么</x:v>
      </x:c>
      <x:c r="O8" s="12" t="str">
        <x:v>阅读用途</x:v>
      </x:c>
      <x:c r="P8" s="12" t="str">
        <x:v>DOI</x:v>
      </x:c>
      <x:c r="Q8" s="12" t="str">
        <x:v>本地相对文件</x:v>
      </x:c>
      <x:c r="R8" s="12" t="str">
        <x:v>文件大小 / MB</x:v>
      </x:c>
      <x:c r="S8" s="12" t="str">
        <x:v>SHA256</x:v>
      </x:c>
      <x:c r="T8" s="12" t="str">
        <x:v>版权与使用条件</x:v>
      </x:c>
      <x:c r="U8" s="13" t="str">
        <x:v>检查日期</x:v>
      </x:c>
    </x:row>
    <x:row r="9" ht="68" customHeight="1">
      <x:c r="A9" s="14" t="str">
        <x:v>D-BFAF4937</x:v>
      </x:c>
      <x:c r="B9" s="14" t="str">
        <x:v>需人工获取</x:v>
      </x:c>
      <x:c r="C9" s="14" t="str">
        <x:v>Applied Multiple Regression/Correlation Analysis for the Behavioral Sciences (3rd ed.)</x:v>
      </x:c>
      <x:c r="D9" s="14" t="str">
        <x:v>英文</x:v>
      </x:c>
      <x:c r="E9" s="15" t="str">
        <x:v>未处理</x:v>
      </x:c>
      <x:c r="F9" s="15" t="str"/>
      <x:c r="G9" s="16" t="str">
        <x:v>https://doi.org/10.4324/9781410606266</x:v>
      </x:c>
      <x:c r="H9" s="14" t="str">
        <x:v>A02</x:v>
      </x:c>
      <x:c r="I9" s="14" t="str">
        <x:v>Cohen, J., Cohen, P., West, S. G., &amp; Aiken, L. S.</x:v>
      </x:c>
      <x:c r="J9" s="18" t="n">
        <x:v>2003</x:v>
      </x:c>
      <x:c r="K9" s="14" t="str">
        <x:v>研究文献</x:v>
      </x:c>
      <x:c r="L9" s="14" t="str">
        <x:v>优先</x:v>
      </x:c>
      <x:c r="M9" s="14" t="str">
        <x:v>未取得全文；页面响应不能证明全文权限。</x:v>
      </x:c>
      <x:c r="N9" s="14" t="str">
        <x:v>从 DOI 或出版社页查看全文；也可使用学校图书馆或作者公开版本。</x:v>
      </x:c>
      <x:c r="O9" s="14" t="str">
        <x:v>标准化系数的解释与陷阱，第 3 章讲得最清楚</x:v>
      </x:c>
      <x:c r="P9" s="14" t="str">
        <x:v>10.4324/9781410606266</x:v>
      </x:c>
      <x:c r="Q9" s="14" t="str"/>
      <x:c r="R9" s="17"/>
      <x:c r="S9" s="14" t="str"/>
      <x:c r="T9" s="14" t="str"/>
      <x:c r="U9" s="19" t="n">
        <x:v>46303</x:v>
      </x:c>
    </x:row>
    <x:row r="10" ht="68" customHeight="1">
      <x:c r="A10" s="14" t="str">
        <x:v>D-D95A426F</x:v>
      </x:c>
      <x:c r="B10" s="14" t="str">
        <x:v>需人工获取</x:v>
      </x:c>
      <x:c r="C10" s="14" t="str">
        <x:v>Statistical tests, P values, confidence intervals, and power: A guide to misinterpretations</x:v>
      </x:c>
      <x:c r="D10" s="14" t="str">
        <x:v>英文</x:v>
      </x:c>
      <x:c r="E10" s="15" t="str">
        <x:v>未处理</x:v>
      </x:c>
      <x:c r="F10" s="15" t="str"/>
      <x:c r="G10" s="16" t="str">
        <x:v>https://doi.org/10.1007/s10654-016-0149-3</x:v>
      </x:c>
      <x:c r="H10" s="14" t="str">
        <x:v>A03</x:v>
      </x:c>
      <x:c r="I10" s="14" t="str">
        <x:v>Greenland, S., Senn, S. J., Rothman, K. J., et al.</x:v>
      </x:c>
      <x:c r="J10" s="18" t="n">
        <x:v>2016</x:v>
      </x:c>
      <x:c r="K10" s="14" t="str">
        <x:v>研究文献</x:v>
      </x:c>
      <x:c r="L10" s="14" t="str">
        <x:v>优先</x:v>
      </x:c>
      <x:c r="M10" s="14" t="str">
        <x:v>未取得全文；页面响应不能证明全文权限。</x:v>
      </x:c>
      <x:c r="N10" s="14" t="str">
        <x:v>从 DOI 或出版社页查看全文；也可使用学校图书馆或作者公开版本。</x:v>
      </x:c>
      <x:c r="O10" s="14" t="str">
        <x:v>**25 条常见误读逐条纠正**。做成海报贴在墙上都不为过</x:v>
      </x:c>
      <x:c r="P10" s="14" t="str">
        <x:v>10.1007/s10654-016-0149-3</x:v>
      </x:c>
      <x:c r="Q10" s="14" t="str"/>
      <x:c r="R10" s="17"/>
      <x:c r="S10" s="14" t="str"/>
      <x:c r="T10" s="14" t="str"/>
      <x:c r="U10" s="19" t="n">
        <x:v>46303</x:v>
      </x:c>
    </x:row>
    <x:row r="11" ht="68" customHeight="1">
      <x:c r="A11" s="14" t="str">
        <x:v>D-C6C98DA1</x:v>
      </x:c>
      <x:c r="B11" s="14" t="str">
        <x:v>需人工获取</x:v>
      </x:c>
      <x:c r="C11" s="14" t="str">
        <x:v>The Design of Experiments</x:v>
      </x:c>
      <x:c r="D11" s="14" t="str">
        <x:v>英文</x:v>
      </x:c>
      <x:c r="E11" s="15" t="str">
        <x:v>未处理</x:v>
      </x:c>
      <x:c r="F11" s="15" t="str"/>
      <x:c r="G11" s="16" t="str">
        <x:v>https://ci.nii.ac.jp/ncid/BA60729447</x:v>
      </x:c>
      <x:c r="H11" s="14" t="str">
        <x:v>A03；A04；A10；C07；G01</x:v>
      </x:c>
      <x:c r="I11" s="14" t="str">
        <x:v>Fisher, R. A.</x:v>
      </x:c>
      <x:c r="J11" s="18" t="n">
        <x:v>1935</x:v>
      </x:c>
      <x:c r="K11" s="14" t="str">
        <x:v>研究文献</x:v>
      </x:c>
      <x:c r="L11" s="14" t="str">
        <x:v>优先</x:v>
      </x:c>
      <x:c r="M11" s="14" t="str">
        <x:v>未取得全文；页面响应不能证明全文权限。</x:v>
      </x:c>
      <x:c r="N11" s="14" t="str">
        <x:v>从 DOI 或出版社页查看全文；也可使用学校图书馆或作者公开版本。</x:v>
      </x:c>
      <x:c r="O11" s="14" t="str">
        <x:v>「女士品茶」那一章就是置换检验的第一个例子</x:v>
      </x:c>
      <x:c r="P11" s="14" t="str"/>
      <x:c r="Q11" s="14" t="str"/>
      <x:c r="R11" s="17"/>
      <x:c r="S11" s="14" t="str"/>
      <x:c r="T11" s="14" t="str"/>
      <x:c r="U11" s="19" t="n">
        <x:v>46303</x:v>
      </x:c>
    </x:row>
    <x:row r="12" ht="68" customHeight="1">
      <x:c r="A12" s="14" t="str">
        <x:v>D-507D690B</x:v>
      </x:c>
      <x:c r="B12" s="14" t="str">
        <x:v>需人工获取</x:v>
      </x:c>
      <x:c r="C12" s="14" t="str">
        <x:v>Robust misinterpretation of confidence intervals</x:v>
      </x:c>
      <x:c r="D12" s="14" t="str">
        <x:v>英文</x:v>
      </x:c>
      <x:c r="E12" s="15" t="str">
        <x:v>未处理</x:v>
      </x:c>
      <x:c r="F12" s="15" t="str"/>
      <x:c r="G12" s="16" t="str">
        <x:v>https://doi.org/10.3758/s13423-013-0572-3</x:v>
      </x:c>
      <x:c r="H12" s="14" t="str">
        <x:v>A04</x:v>
      </x:c>
      <x:c r="I12" s="14" t="str">
        <x:v>Hoekstra, R., Morey, R. D., Rouder, J. N., &amp; Wagenmakers, E.-J.</x:v>
      </x:c>
      <x:c r="J12" s="18" t="n">
        <x:v>2014</x:v>
      </x:c>
      <x:c r="K12" s="14" t="str">
        <x:v>研究文献</x:v>
      </x:c>
      <x:c r="L12" s="14" t="str">
        <x:v>优先</x:v>
      </x:c>
      <x:c r="M12" s="14" t="str">
        <x:v>未取得全文；页面响应不能证明全文权限。</x:v>
      </x:c>
      <x:c r="N12" s="14" t="str">
        <x:v>从 DOI 或出版社页查看全文；也可使用学校图书馆或作者公开版本。</x:v>
      </x:c>
      <x:c r="O12" s="14" t="str">
        <x:v>实测：本科生、研究生、教授对 CI 的误读率都在 90% 以上</x:v>
      </x:c>
      <x:c r="P12" s="14" t="str">
        <x:v>10.3758/s13423-013-0572-3</x:v>
      </x:c>
      <x:c r="Q12" s="14" t="str"/>
      <x:c r="R12" s="17"/>
      <x:c r="S12" s="14" t="str"/>
      <x:c r="T12" s="14" t="str"/>
      <x:c r="U12" s="19" t="n">
        <x:v>46303</x:v>
      </x:c>
    </x:row>
    <x:row r="13" ht="68" customHeight="1">
      <x:c r="A13" s="14" t="str">
        <x:v>D-7F578F11</x:v>
      </x:c>
      <x:c r="B13" s="14" t="str">
        <x:v>需人工获取</x:v>
      </x:c>
      <x:c r="C13" s="14" t="str">
        <x:v>Statistical Power Analysis for the Behavioral Sciences (2nd ed.)</x:v>
      </x:c>
      <x:c r="D13" s="14" t="str">
        <x:v>英文</x:v>
      </x:c>
      <x:c r="E13" s="15" t="str">
        <x:v>未处理</x:v>
      </x:c>
      <x:c r="F13" s="15" t="str"/>
      <x:c r="G13" s="16" t="str">
        <x:v>https://www.routledge.com/Statistical-Power-Analysis-for-the-Behavioral-Sciences-2nd-Edition/Cohen/p/book/9780203771587</x:v>
      </x:c>
      <x:c r="H13" s="14" t="str">
        <x:v>A05；A07</x:v>
      </x:c>
      <x:c r="I13" s="14" t="str">
        <x:v>Cohen, J.</x:v>
      </x:c>
      <x:c r="J13" s="18" t="n">
        <x:v>1988</x:v>
      </x:c>
      <x:c r="K13" s="14" t="str">
        <x:v>研究文献</x:v>
      </x:c>
      <x:c r="L13" s="14" t="str">
        <x:v>优先</x:v>
      </x:c>
      <x:c r="M13" s="14" t="str">
        <x:v>未取得全文；页面响应不能证明全文权限。</x:v>
      </x:c>
      <x:c r="N13" s="14" t="str">
        <x:v>从 DOI 或出版社页查看全文；也可使用学校图书馆或作者公开版本。</x:v>
      </x:c>
      <x:c r="O13" s="14" t="str">
        <x:v>.2/.5/.8 这套基准的来源。Cohen 本人反复强调这只是无参照时的应急标准</x:v>
      </x:c>
      <x:c r="P13" s="14" t="str"/>
      <x:c r="Q13" s="14" t="str"/>
      <x:c r="R13" s="17"/>
      <x:c r="S13" s="14" t="str"/>
      <x:c r="T13" s="14" t="str"/>
      <x:c r="U13" s="19" t="n">
        <x:v>46303</x:v>
      </x:c>
    </x:row>
    <x:row r="14" ht="68" customHeight="1">
      <x:c r="A14" s="14" t="str">
        <x:v>D-AB997BB4</x:v>
      </x:c>
      <x:c r="B14" s="14" t="str">
        <x:v>需人工获取</x:v>
      </x:c>
      <x:c r="C14" s="14" t="str">
        <x:v>Generalized eta and omega squared statistics: Measures of effect size for some common research designs</x:v>
      </x:c>
      <x:c r="D14" s="14" t="str">
        <x:v>英文</x:v>
      </x:c>
      <x:c r="E14" s="15" t="str">
        <x:v>未处理</x:v>
      </x:c>
      <x:c r="F14" s="15" t="str"/>
      <x:c r="G14" s="16" t="str">
        <x:v>https://doi.org/10.1037/1082-989x.8.4.434</x:v>
      </x:c>
      <x:c r="H14" s="14" t="str">
        <x:v>A06</x:v>
      </x:c>
      <x:c r="I14" s="14" t="str">
        <x:v>Olejnik, S., &amp; Algina, J.</x:v>
      </x:c>
      <x:c r="J14" s="18" t="n">
        <x:v>2003</x:v>
      </x:c>
      <x:c r="K14" s="14" t="str">
        <x:v>研究文献</x:v>
      </x:c>
      <x:c r="L14" s="14" t="str">
        <x:v>优先</x:v>
      </x:c>
      <x:c r="M14" s="14" t="str">
        <x:v>未取得全文；页面响应不能证明全文权限。</x:v>
      </x:c>
      <x:c r="N14" s="14" t="str">
        <x:v>从 DOI 或出版社页查看全文；也可使用学校图书馆或作者公开版本。</x:v>
      </x:c>
      <x:c r="O14" s="14" t="str">
        <x:v>**广义 η² 的来源**：偏 η² 不能跨设计比较，广义 η² 可以。元分析要用后者</x:v>
      </x:c>
      <x:c r="P14" s="14" t="str">
        <x:v>10.1037/1082-989x.8.4.434</x:v>
      </x:c>
      <x:c r="Q14" s="14" t="str"/>
      <x:c r="R14" s="17"/>
      <x:c r="S14" s="14" t="str"/>
      <x:c r="T14" s="14" t="str"/>
      <x:c r="U14" s="19" t="n">
        <x:v>46303</x:v>
      </x:c>
    </x:row>
    <x:row r="15" ht="68" customHeight="1">
      <x:c r="A15" s="14" t="str">
        <x:v>D-41942DC9</x:v>
      </x:c>
      <x:c r="B15" s="14" t="str">
        <x:v>需人工获取</x:v>
      </x:c>
      <x:c r="C15" s="14" t="str">
        <x:v>G*Power 3: A flexible statistical power analysis program for the social, behavioral, and biomedical sciences</x:v>
      </x:c>
      <x:c r="D15" s="14" t="str">
        <x:v>英文</x:v>
      </x:c>
      <x:c r="E15" s="15" t="str">
        <x:v>未处理</x:v>
      </x:c>
      <x:c r="F15" s="15" t="str"/>
      <x:c r="G15" s="16" t="str">
        <x:v>https://doi.org/10.3758/bf03193146</x:v>
      </x:c>
      <x:c r="H15" s="14" t="str">
        <x:v>A07</x:v>
      </x:c>
      <x:c r="I15" s="14" t="str">
        <x:v>Faul, F., Erdfelder, E., Lang, A.-G., &amp; Buchner, A.</x:v>
      </x:c>
      <x:c r="J15" s="18" t="n">
        <x:v>2007</x:v>
      </x:c>
      <x:c r="K15" s="14" t="str">
        <x:v>研究文献</x:v>
      </x:c>
      <x:c r="L15" s="14" t="str">
        <x:v>优先</x:v>
      </x:c>
      <x:c r="M15" s="14" t="str">
        <x:v>未取得全文；页面响应不能证明全文权限。</x:v>
      </x:c>
      <x:c r="N15" s="14" t="str">
        <x:v>从 DOI 或出版社页查看全文；也可使用学校图书馆或作者公开版本。</x:v>
      </x:c>
      <x:c r="O15" s="14" t="str">
        <x:v>G*Power 的官方文献，社会科学中用得最多的功效分析软件</x:v>
      </x:c>
      <x:c r="P15" s="14" t="str">
        <x:v>10.3758/bf03193146</x:v>
      </x:c>
      <x:c r="Q15" s="14" t="str"/>
      <x:c r="R15" s="17"/>
      <x:c r="S15" s="14" t="str"/>
      <x:c r="T15" s="14" t="str"/>
      <x:c r="U15" s="19" t="n">
        <x:v>46303</x:v>
      </x:c>
    </x:row>
    <x:row r="16" ht="68" customHeight="1">
      <x:c r="A16" s="14" t="str">
        <x:v>D-177D7BE4</x:v>
      </x:c>
      <x:c r="B16" s="14" t="str">
        <x:v>需人工获取</x:v>
      </x:c>
      <x:c r="C16" s="14" t="str">
        <x:v>Sample size justification</x:v>
      </x:c>
      <x:c r="D16" s="14" t="str">
        <x:v>英文</x:v>
      </x:c>
      <x:c r="E16" s="15" t="str">
        <x:v>未处理</x:v>
      </x:c>
      <x:c r="F16" s="15" t="str"/>
      <x:c r="G16" s="16" t="str">
        <x:v>https://doi.org/10.1525/collabra.33267</x:v>
      </x:c>
      <x:c r="H16" s="14" t="str">
        <x:v>A07</x:v>
      </x:c>
      <x:c r="I16" s="14" t="str">
        <x:v>Lakens, D.</x:v>
      </x:c>
      <x:c r="J16" s="18" t="n">
        <x:v>2022</x:v>
      </x:c>
      <x:c r="K16" s="14" t="str">
        <x:v>研究文献</x:v>
      </x:c>
      <x:c r="L16" s="14" t="str">
        <x:v>优先</x:v>
      </x:c>
      <x:c r="M16" s="14" t="str">
        <x:v>2026-10-07 重试：来源页访问未完成（curl 22）；可从作者公开稿或学校图书馆继续获取。</x:v>
      </x:c>
      <x:c r="N16" s="14" t="str">
        <x:v>从 DOI 或出版社页查看全文；也可使用学校图书馆或作者公开版本。</x:v>
      </x:c>
      <x:c r="O16" s="14" t="str">
        <x:v>**当前最实用的一篇**。给出六种正当化样本量的方式，不只是「算功效」。免费获取</x:v>
      </x:c>
      <x:c r="P16" s="14" t="str">
        <x:v>10.1525/collabra.33267</x:v>
      </x:c>
      <x:c r="Q16" s="14" t="str"/>
      <x:c r="R16" s="17"/>
      <x:c r="S16" s="14" t="str"/>
      <x:c r="T16" s="14" t="str"/>
      <x:c r="U16" s="19" t="n">
        <x:v>46303</x:v>
      </x:c>
    </x:row>
    <x:row r="17" ht="68" customHeight="1">
      <x:c r="A17" s="14" t="str">
        <x:v>D-581E1F66</x:v>
      </x:c>
      <x:c r="B17" s="14" t="str">
        <x:v>需人工获取</x:v>
      </x:c>
      <x:c r="C17" s="14" t="str">
        <x:v>SIMR: An R package for power analysis of generalised linear mixed models by simulation</x:v>
      </x:c>
      <x:c r="D17" s="14" t="str">
        <x:v>英文</x:v>
      </x:c>
      <x:c r="E17" s="15" t="str">
        <x:v>未处理</x:v>
      </x:c>
      <x:c r="F17" s="15" t="str"/>
      <x:c r="G17" s="16" t="str">
        <x:v>https://doi.org/10.1111/2041-210x.12504</x:v>
      </x:c>
      <x:c r="H17" s="14" t="str">
        <x:v>A07</x:v>
      </x:c>
      <x:c r="I17" s="14" t="str">
        <x:v>Green, P., &amp; MacLeod, C. J.</x:v>
      </x:c>
      <x:c r="J17" s="18" t="n">
        <x:v>2016</x:v>
      </x:c>
      <x:c r="K17" s="14" t="str">
        <x:v>研究文献</x:v>
      </x:c>
      <x:c r="L17" s="14" t="str">
        <x:v>优先</x:v>
      </x:c>
      <x:c r="M17" s="14" t="str">
        <x:v>未取得全文；页面响应不能证明全文权限。</x:v>
      </x:c>
      <x:c r="N17" s="14" t="str">
        <x:v>从 DOI 或出版社页查看全文；也可使用学校图书馆或作者公开版本。</x:v>
      </x:c>
      <x:c r="O17" s="14" t="str">
        <x:v>多层模型功效分析的实用工具</x:v>
      </x:c>
      <x:c r="P17" s="14" t="str">
        <x:v>10.1111/2041-210x.12504</x:v>
      </x:c>
      <x:c r="Q17" s="14" t="str"/>
      <x:c r="R17" s="17"/>
      <x:c r="S17" s="14" t="str"/>
      <x:c r="T17" s="14" t="str"/>
      <x:c r="U17" s="19" t="n">
        <x:v>46303</x:v>
      </x:c>
    </x:row>
    <x:row r="18" ht="68" customHeight="1">
      <x:c r="A18" s="14" t="str">
        <x:v>D-0A891A63</x:v>
      </x:c>
      <x:c r="B18" s="14" t="str">
        <x:v>需人工获取</x:v>
      </x:c>
      <x:c r="C18" s="14" t="str">
        <x:v>The statistical power of abnormal-social psychological research: A review</x:v>
      </x:c>
      <x:c r="D18" s="14" t="str">
        <x:v>英文</x:v>
      </x:c>
      <x:c r="E18" s="15" t="str">
        <x:v>未处理</x:v>
      </x:c>
      <x:c r="F18" s="15" t="str"/>
      <x:c r="G18" s="16" t="str">
        <x:v>https://doi.org/10.1037/h0045186</x:v>
      </x:c>
      <x:c r="H18" s="14" t="str">
        <x:v>A07</x:v>
      </x:c>
      <x:c r="I18" s="14" t="str">
        <x:v>Cohen, J.</x:v>
      </x:c>
      <x:c r="J18" s="18" t="n">
        <x:v>1962</x:v>
      </x:c>
      <x:c r="K18" s="14" t="str">
        <x:v>研究文献</x:v>
      </x:c>
      <x:c r="L18" s="14" t="str">
        <x:v>优先</x:v>
      </x:c>
      <x:c r="M18" s="14" t="str">
        <x:v>未取得全文；页面响应不能证明全文权限。</x:v>
      </x:c>
      <x:c r="N18" s="14" t="str">
        <x:v>从 DOI 或出版社页查看全文；也可使用学校图书馆或作者公开版本。</x:v>
      </x:c>
      <x:c r="O18" s="14" t="str">
        <x:v>**六十多年前就指出心理学功效普遍不足**，而这个问题至今没有解决。历史价值与现实意义并重</x:v>
      </x:c>
      <x:c r="P18" s="14" t="str">
        <x:v>10.1037/h0045186</x:v>
      </x:c>
      <x:c r="Q18" s="14" t="str"/>
      <x:c r="R18" s="17"/>
      <x:c r="S18" s="14" t="str"/>
      <x:c r="T18" s="14" t="str"/>
      <x:c r="U18" s="19" t="n">
        <x:v>46303</x:v>
      </x:c>
    </x:row>
    <x:row r="19" ht="68" customHeight="1">
      <x:c r="A19" s="14" t="str">
        <x:v>D-37D07689</x:v>
      </x:c>
      <x:c r="B19" s="14" t="str">
        <x:v>需人工获取</x:v>
      </x:c>
      <x:c r="C19" s="14" t="str">
        <x:v>Controlling the false discovery rate: A practical and powerful approach to multiple testing</x:v>
      </x:c>
      <x:c r="D19" s="14" t="str">
        <x:v>英文</x:v>
      </x:c>
      <x:c r="E19" s="15" t="str">
        <x:v>未处理</x:v>
      </x:c>
      <x:c r="F19" s="15" t="str"/>
      <x:c r="G19" s="16" t="str">
        <x:v>https://doi.org/10.1111/j.2517-6161.1995.tb02031.x</x:v>
      </x:c>
      <x:c r="H19" s="14" t="str">
        <x:v>A08</x:v>
      </x:c>
      <x:c r="I19" s="14" t="str">
        <x:v>Benjamini, Y., &amp; Hochberg, Y.</x:v>
      </x:c>
      <x:c r="J19" s="18" t="n">
        <x:v>1995</x:v>
      </x:c>
      <x:c r="K19" s="14" t="str">
        <x:v>研究文献</x:v>
      </x:c>
      <x:c r="L19" s="14" t="str">
        <x:v>优先</x:v>
      </x:c>
      <x:c r="M19" s="14" t="str">
        <x:v>未取得全文；页面响应不能证明全文权限。</x:v>
      </x:c>
      <x:c r="N19" s="14" t="str">
        <x:v>从 DOI 或出版社页查看全文；也可使用学校图书馆或作者公开版本。</x:v>
      </x:c>
      <x:c r="O19" s="14" t="str">
        <x:v>FDR 的原始文献，检验数多时的标准做法</x:v>
      </x:c>
      <x:c r="P19" s="14" t="str">
        <x:v>10.1111/j.2517-6161.1995.tb02031.x</x:v>
      </x:c>
      <x:c r="Q19" s="14" t="str"/>
      <x:c r="R19" s="17"/>
      <x:c r="S19" s="14" t="str"/>
      <x:c r="T19" s="14" t="str"/>
      <x:c r="U19" s="19" t="n">
        <x:v>46303</x:v>
      </x:c>
    </x:row>
    <x:row r="20" ht="68" customHeight="1">
      <x:c r="A20" s="14" t="str">
        <x:v>D-437EF3A3</x:v>
      </x:c>
      <x:c r="B20" s="14" t="str">
        <x:v>需人工获取</x:v>
      </x:c>
      <x:c r="C20" s="14" t="str">
        <x:v>Bootstrap methods: Another look at the jackknife</x:v>
      </x:c>
      <x:c r="D20" s="14" t="str">
        <x:v>英文</x:v>
      </x:c>
      <x:c r="E20" s="15" t="str">
        <x:v>未处理</x:v>
      </x:c>
      <x:c r="F20" s="15" t="str"/>
      <x:c r="G20" s="16" t="str">
        <x:v>https://doi.org/10.1214/aos/1176344552</x:v>
      </x:c>
      <x:c r="H20" s="14" t="str">
        <x:v>A09</x:v>
      </x:c>
      <x:c r="I20" s="14" t="str">
        <x:v>Efron, B.</x:v>
      </x:c>
      <x:c r="J20" s="18" t="n">
        <x:v>1979</x:v>
      </x:c>
      <x:c r="K20" s="14" t="str">
        <x:v>研究文献</x:v>
      </x:c>
      <x:c r="L20" s="14" t="str">
        <x:v>优先</x:v>
      </x:c>
      <x:c r="M20" s="14" t="str">
        <x:v>未取得全文；页面响应不能证明全文权限。</x:v>
      </x:c>
      <x:c r="N20" s="14" t="str">
        <x:v>从 DOI 或出版社页查看全文；也可使用学校图书馆或作者公开版本。</x:v>
      </x:c>
      <x:c r="O20" s="14" t="str">
        <x:v>Bootstrap 的原始文献</x:v>
      </x:c>
      <x:c r="P20" s="14" t="str">
        <x:v>10.1214/aos/1176344552</x:v>
      </x:c>
      <x:c r="Q20" s="14" t="str"/>
      <x:c r="R20" s="17"/>
      <x:c r="S20" s="14" t="str"/>
      <x:c r="T20" s="14" t="str"/>
      <x:c r="U20" s="19" t="n">
        <x:v>46303</x:v>
      </x:c>
    </x:row>
    <x:row r="21" ht="68" customHeight="1">
      <x:c r="A21" s="14" t="str">
        <x:v>D-39BD750C</x:v>
      </x:c>
      <x:c r="B21" s="14" t="str">
        <x:v>需人工获取</x:v>
      </x:c>
      <x:c r="C21" s="14" t="str">
        <x:v>Asymptotic and resampling strategies for assessing and comparing indirect effects in multiple mediator models</x:v>
      </x:c>
      <x:c r="D21" s="14" t="str">
        <x:v>英文</x:v>
      </x:c>
      <x:c r="E21" s="15" t="str">
        <x:v>未处理</x:v>
      </x:c>
      <x:c r="F21" s="15" t="str"/>
      <x:c r="G21" s="16" t="str">
        <x:v>https://doi.org/10.3758/brm.40.3.879</x:v>
      </x:c>
      <x:c r="H21" s="14" t="str">
        <x:v>A09；D05</x:v>
      </x:c>
      <x:c r="I21" s="14" t="str">
        <x:v>Preacher, K. J., &amp; Hayes, A. F.</x:v>
      </x:c>
      <x:c r="J21" s="18" t="n">
        <x:v>2008</x:v>
      </x:c>
      <x:c r="K21" s="14" t="str">
        <x:v>研究文献</x:v>
      </x:c>
      <x:c r="L21" s="14" t="str">
        <x:v>优先</x:v>
      </x:c>
      <x:c r="M21" s="14" t="str">
        <x:v>未取得全文；页面响应不能证明全文权限。</x:v>
      </x:c>
      <x:c r="N21" s="14" t="str">
        <x:v>从 DOI 或出版社页查看全文；也可使用学校图书馆或作者公开版本。</x:v>
      </x:c>
      <x:c r="O21" s="14" t="str">
        <x:v>**把 bootstrap 变成中介分析标准做法的那篇**</x:v>
      </x:c>
      <x:c r="P21" s="14" t="str">
        <x:v>10.3758/brm.40.3.879</x:v>
      </x:c>
      <x:c r="Q21" s="14" t="str"/>
      <x:c r="R21" s="17"/>
      <x:c r="S21" s="14" t="str"/>
      <x:c r="T21" s="14" t="str"/>
      <x:c r="U21" s="19" t="n">
        <x:v>46303</x:v>
      </x:c>
    </x:row>
    <x:row r="22" ht="68" customHeight="1">
      <x:c r="A22" s="14" t="str">
        <x:v>D-E39F66E7</x:v>
      </x:c>
      <x:c r="B22" s="14" t="str">
        <x:v>需人工获取</x:v>
      </x:c>
      <x:c r="C22" s="14" t="str">
        <x:v>Permutation methods: A basis for exact inference</x:v>
      </x:c>
      <x:c r="D22" s="14" t="str">
        <x:v>英文</x:v>
      </x:c>
      <x:c r="E22" s="15" t="str">
        <x:v>未处理</x:v>
      </x:c>
      <x:c r="F22" s="15" t="str"/>
      <x:c r="G22" s="16" t="str">
        <x:v>https://doi.org/10.1214/088342304000000396</x:v>
      </x:c>
      <x:c r="H22" s="14" t="str">
        <x:v>A10</x:v>
      </x:c>
      <x:c r="I22" s="14" t="str">
        <x:v>Ernst, M. D.</x:v>
      </x:c>
      <x:c r="J22" s="18" t="n">
        <x:v>2004</x:v>
      </x:c>
      <x:c r="K22" s="14" t="str">
        <x:v>研究文献</x:v>
      </x:c>
      <x:c r="L22" s="14" t="str">
        <x:v>优先</x:v>
      </x:c>
      <x:c r="M22" s="14" t="str">
        <x:v>未取得全文；页面响应不能证明全文权限。</x:v>
      </x:c>
      <x:c r="N22" s="14" t="str">
        <x:v>从 DOI 或出版社页查看全文；也可使用学校图书馆或作者公开版本。</x:v>
      </x:c>
      <x:c r="O22" s="14" t="str">
        <x:v>置换检验的系统介绍，说明它为什么是「精确」的</x:v>
      </x:c>
      <x:c r="P22" s="14" t="str">
        <x:v>10.1214/088342304000000396</x:v>
      </x:c>
      <x:c r="Q22" s="14" t="str"/>
      <x:c r="R22" s="17"/>
      <x:c r="S22" s="14" t="str"/>
      <x:c r="T22" s="14" t="str"/>
      <x:c r="U22" s="19" t="n">
        <x:v>46303</x:v>
      </x:c>
    </x:row>
    <x:row r="23" ht="68" customHeight="1">
      <x:c r="A23" s="14" t="str">
        <x:v>D-B384A46C</x:v>
      </x:c>
      <x:c r="B23" s="14" t="str">
        <x:v>需人工获取</x:v>
      </x:c>
      <x:c r="C23" s="14" t="str">
        <x:v>A comparison of the two one-sided tests procedure and the power approach for assessing the equivalence of average bioavailability</x:v>
      </x:c>
      <x:c r="D23" s="14" t="str">
        <x:v>英文</x:v>
      </x:c>
      <x:c r="E23" s="15" t="str">
        <x:v>未处理</x:v>
      </x:c>
      <x:c r="F23" s="15" t="str"/>
      <x:c r="G23" s="16" t="str">
        <x:v>https://doi.org/10.1007/bf01068419</x:v>
      </x:c>
      <x:c r="H23" s="14" t="str">
        <x:v>A11</x:v>
      </x:c>
      <x:c r="I23" s="14" t="str">
        <x:v>Schuirmann, D. J.</x:v>
      </x:c>
      <x:c r="J23" s="18" t="n">
        <x:v>1987</x:v>
      </x:c>
      <x:c r="K23" s="14" t="str">
        <x:v>研究文献</x:v>
      </x:c>
      <x:c r="L23" s="14" t="str">
        <x:v>优先</x:v>
      </x:c>
      <x:c r="M23" s="14" t="str">
        <x:v>未取得全文；页面响应不能证明全文权限。</x:v>
      </x:c>
      <x:c r="N23" s="14" t="str">
        <x:v>从 DOI 或出版社页查看全文；也可使用学校图书馆或作者公开版本。</x:v>
      </x:c>
      <x:c r="O23" s="14" t="str">
        <x:v>TOST 的原始文献，来自生物等效性研究</x:v>
      </x:c>
      <x:c r="P23" s="14" t="str">
        <x:v>10.1007/bf01068419</x:v>
      </x:c>
      <x:c r="Q23" s="14" t="str"/>
      <x:c r="R23" s="17"/>
      <x:c r="S23" s="14" t="str"/>
      <x:c r="T23" s="14" t="str"/>
      <x:c r="U23" s="19" t="n">
        <x:v>46303</x:v>
      </x:c>
    </x:row>
    <x:row r="24" ht="68" customHeight="1">
      <x:c r="A24" s="14" t="str">
        <x:v>D-57B883AE</x:v>
      </x:c>
      <x:c r="B24" s="14" t="str">
        <x:v>需人工获取</x:v>
      </x:c>
      <x:c r="C24" s="14" t="str">
        <x:v>Equivalence testing for psychological research: A tutorial</x:v>
      </x:c>
      <x:c r="D24" s="14" t="str">
        <x:v>英文</x:v>
      </x:c>
      <x:c r="E24" s="15" t="str">
        <x:v>未处理</x:v>
      </x:c>
      <x:c r="F24" s="15" t="str"/>
      <x:c r="G24" s="16" t="str">
        <x:v>https://doi.org/10.31234/osf.io/v3zkt</x:v>
      </x:c>
      <x:c r="H24" s="14" t="str">
        <x:v>A11</x:v>
      </x:c>
      <x:c r="I24" s="14" t="str">
        <x:v>Lakens, D., Scheel, A. M., &amp; Isager, P. M.</x:v>
      </x:c>
      <x:c r="J24" s="18" t="n">
        <x:v>2018</x:v>
      </x:c>
      <x:c r="K24" s="14" t="str">
        <x:v>研究文献</x:v>
      </x:c>
      <x:c r="L24" s="14" t="str">
        <x:v>优先</x:v>
      </x:c>
      <x:c r="M24" s="14" t="str">
        <x:v>未取得全文；页面响应不能证明全文权限。</x:v>
      </x:c>
      <x:c r="N24" s="14" t="str">
        <x:v>从 DOI 或出版社页查看全文；也可使用学校图书馆或作者公开版本。</x:v>
      </x:c>
      <x:c r="O24" s="14" t="str">
        <x:v>**怎么正当化 SESOI**——这是等价检验里唯一需要判断力的一步 链接为作者公开稿或工作论文，可能与正式发表版在年份、题名或内容上不同；引用时请核对所用版本。</x:v>
      </x:c>
      <x:c r="P24" s="14" t="str">
        <x:v>10.31234/osf.io/v3zkt</x:v>
      </x:c>
      <x:c r="Q24" s="14" t="str"/>
      <x:c r="R24" s="17"/>
      <x:c r="S24" s="14" t="str"/>
      <x:c r="T24" s="14" t="str"/>
      <x:c r="U24" s="19" t="n">
        <x:v>46303</x:v>
      </x:c>
    </x:row>
    <x:row r="25" ht="68" customHeight="1">
      <x:c r="A25" s="14" t="str">
        <x:v>D-F7DCD54C</x:v>
      </x:c>
      <x:c r="B25" s="14" t="str">
        <x:v>需人工获取</x:v>
      </x:c>
      <x:c r="C25" s="14" t="str">
        <x:v>Equivalence tests: A practical primer for t tests, correlations, and meta-analyses</x:v>
      </x:c>
      <x:c r="D25" s="14" t="str">
        <x:v>英文</x:v>
      </x:c>
      <x:c r="E25" s="15" t="str">
        <x:v>未处理</x:v>
      </x:c>
      <x:c r="F25" s="15" t="str"/>
      <x:c r="G25" s="16" t="str">
        <x:v>https://doi.org/10.31234/osf.io/97gpc_v1</x:v>
      </x:c>
      <x:c r="H25" s="14" t="str">
        <x:v>A11</x:v>
      </x:c>
      <x:c r="I25" s="14" t="str">
        <x:v>Lakens, D.</x:v>
      </x:c>
      <x:c r="J25" s="18" t="n">
        <x:v>2017</x:v>
      </x:c>
      <x:c r="K25" s="14" t="str">
        <x:v>研究文献</x:v>
      </x:c>
      <x:c r="L25" s="14" t="str">
        <x:v>优先</x:v>
      </x:c>
      <x:c r="M25" s="14" t="str">
        <x:v>未取得全文；页面响应不能证明全文权限。</x:v>
      </x:c>
      <x:c r="N25" s="14" t="str">
        <x:v>从 DOI 或出版社页查看全文；也可使用学校图书馆或作者公开版本。</x:v>
      </x:c>
      <x:c r="O25" s="14" t="str">
        <x:v>**把等价检验带进心理学的那篇**，附 TOSTER 包与完整步骤 链接为作者公开稿或工作论文，可能与正式发表版在年份、题名或内容上不同；引用时请核对所用版本。</x:v>
      </x:c>
      <x:c r="P25" s="14" t="str">
        <x:v>10.31234/osf.io/97gpc_v1</x:v>
      </x:c>
      <x:c r="Q25" s="14" t="str"/>
      <x:c r="R25" s="17"/>
      <x:c r="S25" s="14" t="str"/>
      <x:c r="T25" s="14" t="str"/>
      <x:c r="U25" s="19" t="n">
        <x:v>46303</x:v>
      </x:c>
    </x:row>
    <x:row r="26" ht="68" customHeight="1">
      <x:c r="A26" s="14" t="str">
        <x:v>D-5A3E101B</x:v>
      </x:c>
      <x:c r="B26" s="14" t="str">
        <x:v>需人工获取</x:v>
      </x:c>
      <x:c r="C26" s="14" t="str">
        <x:v>The Wilcoxon–Mann–Whitney procedure fails as a test of medians</x:v>
      </x:c>
      <x:c r="D26" s="14" t="str">
        <x:v>英文</x:v>
      </x:c>
      <x:c r="E26" s="15" t="str">
        <x:v>未处理</x:v>
      </x:c>
      <x:c r="F26" s="15" t="str"/>
      <x:c r="G26" s="16" t="str">
        <x:v>https://doi.org/10.1080/00031305.2017.1305291</x:v>
      </x:c>
      <x:c r="H26" s="14" t="str">
        <x:v>A12</x:v>
      </x:c>
      <x:c r="I26" s="14" t="str">
        <x:v>Divine, G. W., Norton, H. J., Barón, A. E., &amp; Juarez-Colunga, E.</x:v>
      </x:c>
      <x:c r="J26" s="18" t="n">
        <x:v>2018</x:v>
      </x:c>
      <x:c r="K26" s="14" t="str">
        <x:v>研究文献</x:v>
      </x:c>
      <x:c r="L26" s="14" t="str">
        <x:v>优先</x:v>
      </x:c>
      <x:c r="M26" s="14" t="str">
        <x:v>未取得全文；页面响应不能证明全文权限。</x:v>
      </x:c>
      <x:c r="N26" s="14" t="str">
        <x:v>从 DOI 或出版社页查看全文；也可使用学校图书馆或作者公开版本。</x:v>
      </x:c>
      <x:c r="O26" s="14" t="str">
        <x:v>**常见误解**：Mann-Whitney 检验的不是中位数差异，而是随机优势</x:v>
      </x:c>
      <x:c r="P26" s="14" t="str">
        <x:v>10.1080/00031305.2017.1305291</x:v>
      </x:c>
      <x:c r="Q26" s="14" t="str"/>
      <x:c r="R26" s="17"/>
      <x:c r="S26" s="14" t="str"/>
      <x:c r="T26" s="14" t="str"/>
      <x:c r="U26" s="19" t="n">
        <x:v>46303</x:v>
      </x:c>
    </x:row>
    <x:row r="27" ht="68" customHeight="1">
      <x:c r="A27" s="14" t="str">
        <x:v>D-CAD711FC</x:v>
      </x:c>
      <x:c r="B27" s="14" t="str">
        <x:v>需人工获取</x:v>
      </x:c>
      <x:c r="C27" s="14" t="str">
        <x:v>An Introduction to Categorical Data Analysis (3rd ed.)</x:v>
      </x:c>
      <x:c r="D27" s="14" t="str">
        <x:v>英文</x:v>
      </x:c>
      <x:c r="E27" s="15" t="str">
        <x:v>未处理</x:v>
      </x:c>
      <x:c r="F27" s="15" t="str"/>
      <x:c r="G27" s="16" t="str">
        <x:v>https://www.wiley-vch.de/de/fachgebiete/mathematik-und-statistik/an-introduction-to-categorical-data-analysis-978-1-119-40526-9</x:v>
      </x:c>
      <x:c r="H27" s="14" t="str">
        <x:v>A13</x:v>
      </x:c>
      <x:c r="I27" s="14" t="str">
        <x:v>Agresti, A.</x:v>
      </x:c>
      <x:c r="J27" s="18" t="n">
        <x:v>2019</x:v>
      </x:c>
      <x:c r="K27" s="14" t="str">
        <x:v>研究文献</x:v>
      </x:c>
      <x:c r="L27" s="14" t="str">
        <x:v>优先</x:v>
      </x:c>
      <x:c r="M27" s="14" t="str">
        <x:v>未取得全文；页面响应不能证明全文权限。</x:v>
      </x:c>
      <x:c r="N27" s="14" t="str">
        <x:v>从 DOI 或出版社页查看全文；也可使用学校图书馆或作者公开版本。</x:v>
      </x:c>
      <x:c r="O27" s="14" t="str">
        <x:v>分类数据分析的标准教材，从卡方一直讲到 logistic 与对数线性模型</x:v>
      </x:c>
      <x:c r="P27" s="14" t="str"/>
      <x:c r="Q27" s="14" t="str"/>
      <x:c r="R27" s="17"/>
      <x:c r="S27" s="14" t="str"/>
      <x:c r="T27" s="14" t="str"/>
      <x:c r="U27" s="19" t="n">
        <x:v>46303</x:v>
      </x:c>
    </x:row>
    <x:row r="28" ht="88" customHeight="1">
      <x:c r="A28" s="14" t="str">
        <x:v>D-55208EC4</x:v>
      </x:c>
      <x:c r="B28" s="14" t="str">
        <x:v>需人工获取</x:v>
      </x:c>
      <x:c r="C28" s="14" t="str">
        <x:v>On the criterion that a given system of deviations from the probable in the case of a correlated system of variables is such that it can be reasonably supposed to have arisen from random sampling</x:v>
      </x:c>
      <x:c r="D28" s="14" t="str">
        <x:v>英文</x:v>
      </x:c>
      <x:c r="E28" s="15" t="str">
        <x:v>未处理</x:v>
      </x:c>
      <x:c r="F28" s="15" t="str"/>
      <x:c r="G28" s="16" t="str">
        <x:v>https://doi.org/10.1080/14786440009463897</x:v>
      </x:c>
      <x:c r="H28" s="14" t="str">
        <x:v>A13</x:v>
      </x:c>
      <x:c r="I28" s="14" t="str">
        <x:v>Pearson, K.</x:v>
      </x:c>
      <x:c r="J28" s="18" t="n">
        <x:v>1900</x:v>
      </x:c>
      <x:c r="K28" s="14" t="str">
        <x:v>研究文献</x:v>
      </x:c>
      <x:c r="L28" s="14" t="str">
        <x:v>优先</x:v>
      </x:c>
      <x:c r="M28" s="14" t="str">
        <x:v>未取得全文；页面响应不能证明全文权限。</x:v>
      </x:c>
      <x:c r="N28" s="14" t="str">
        <x:v>从 DOI 或出版社页查看全文；也可使用学校图书馆或作者公开版本。</x:v>
      </x:c>
      <x:c r="O28" s="14" t="str">
        <x:v>卡方检验的原始文献，推断统计的开山之作之一</x:v>
      </x:c>
      <x:c r="P28" s="14" t="str">
        <x:v>10.1080/14786440009463897</x:v>
      </x:c>
      <x:c r="Q28" s="14" t="str"/>
      <x:c r="R28" s="17"/>
      <x:c r="S28" s="14" t="str"/>
      <x:c r="T28" s="14" t="str"/>
      <x:c r="U28" s="19" t="n">
        <x:v>46303</x:v>
      </x:c>
    </x:row>
    <x:row r="29" ht="68" customHeight="1">
      <x:c r="A29" s="14" t="str">
        <x:v>D-8378D234</x:v>
      </x:c>
      <x:c r="B29" s="14" t="str">
        <x:v>需人工获取</x:v>
      </x:c>
      <x:c r="C29" s="14" t="str">
        <x:v>On the theory of scales of measurement</x:v>
      </x:c>
      <x:c r="D29" s="14" t="str">
        <x:v>英文</x:v>
      </x:c>
      <x:c r="E29" s="15" t="str">
        <x:v>未处理</x:v>
      </x:c>
      <x:c r="F29" s="15" t="str"/>
      <x:c r="G29" s="16" t="str">
        <x:v>https://doi.org/10.1126/science.103.2684.677</x:v>
      </x:c>
      <x:c r="H29" s="14" t="str">
        <x:v>B01</x:v>
      </x:c>
      <x:c r="I29" s="14" t="str">
        <x:v>Stevens, S. S.</x:v>
      </x:c>
      <x:c r="J29" s="18" t="n">
        <x:v>1946</x:v>
      </x:c>
      <x:c r="K29" s="14" t="str">
        <x:v>研究文献</x:v>
      </x:c>
      <x:c r="L29" s="14" t="str">
        <x:v>优先</x:v>
      </x:c>
      <x:c r="M29" s="14" t="str">
        <x:v>未取得全文；页面响应不能证明全文权限。</x:v>
      </x:c>
      <x:c r="N29" s="14" t="str">
        <x:v>从 DOI 或出版社页查看全文；也可使用学校图书馆或作者公开版本。</x:v>
      </x:c>
      <x:c r="O29" s="14" t="str">
        <x:v>名义/顺序/等距/等比四尺度的来源</x:v>
      </x:c>
      <x:c r="P29" s="14" t="str">
        <x:v>10.1126/science.103.2684.677</x:v>
      </x:c>
      <x:c r="Q29" s="14" t="str"/>
      <x:c r="R29" s="17"/>
      <x:c r="S29" s="14" t="str"/>
      <x:c r="T29" s="14" t="str"/>
      <x:c r="U29" s="19" t="n">
        <x:v>46303</x:v>
      </x:c>
    </x:row>
    <x:row r="30" ht="68" customHeight="1">
      <x:c r="A30" s="14" t="str">
        <x:v>D-4E1CD118</x:v>
      </x:c>
      <x:c r="B30" s="14" t="str">
        <x:v>需人工获取</x:v>
      </x:c>
      <x:c r="C30" s="14" t="str">
        <x:v>Statistical Theories of Mental Test Scores</x:v>
      </x:c>
      <x:c r="D30" s="14" t="str">
        <x:v>英文</x:v>
      </x:c>
      <x:c r="E30" s="15" t="str">
        <x:v>未处理</x:v>
      </x:c>
      <x:c r="F30" s="15" t="str"/>
      <x:c r="G30" s="16" t="str">
        <x:v>https://www.ets.org/research/policy_research_reports/publications/book/1968/awej.html</x:v>
      </x:c>
      <x:c r="H30" s="14" t="str">
        <x:v>B01；B02；B04；B11；B21</x:v>
      </x:c>
      <x:c r="I30" s="14" t="str">
        <x:v>Lord, F. M., &amp; Novick, M. R.</x:v>
      </x:c>
      <x:c r="J30" s="18" t="n">
        <x:v>1968</x:v>
      </x:c>
      <x:c r="K30" s="14" t="str">
        <x:v>研究文献</x:v>
      </x:c>
      <x:c r="L30" s="14" t="str">
        <x:v>优先</x:v>
      </x:c>
      <x:c r="M30" s="14" t="str">
        <x:v>未取得全文；页面响应不能证明全文权限。</x:v>
      </x:c>
      <x:c r="N30" s="14" t="str">
        <x:v>从 DOI 或出版社页查看全文；也可使用学校图书馆或作者公开版本。</x:v>
      </x:c>
      <x:c r="O30" s="14" t="str">
        <x:v>经典测验理论的奠基之作，也是 IRT 的起点</x:v>
      </x:c>
      <x:c r="P30" s="14" t="str"/>
      <x:c r="Q30" s="14" t="str"/>
      <x:c r="R30" s="17"/>
      <x:c r="S30" s="14" t="str"/>
      <x:c r="T30" s="14" t="str"/>
      <x:c r="U30" s="19" t="n">
        <x:v>46303</x:v>
      </x:c>
    </x:row>
    <x:row r="31" ht="68" customHeight="1">
      <x:c r="A31" s="14" t="str">
        <x:v>D-3F41985C</x:v>
      </x:c>
      <x:c r="B31" s="14" t="str">
        <x:v>需人工获取</x:v>
      </x:c>
      <x:c r="C31" s="14" t="str">
        <x:v>Coefficients alpha, beta, omega, and the glb: Comments on Sijtsma</x:v>
      </x:c>
      <x:c r="D31" s="14" t="str">
        <x:v>英文</x:v>
      </x:c>
      <x:c r="E31" s="15" t="str">
        <x:v>未处理</x:v>
      </x:c>
      <x:c r="F31" s="15" t="str"/>
      <x:c r="G31" s="16" t="str">
        <x:v>https://doi.org/10.1007/s11336-008-9102-z</x:v>
      </x:c>
      <x:c r="H31" s="14" t="str">
        <x:v>B02</x:v>
      </x:c>
      <x:c r="I31" s="14" t="str">
        <x:v>Revelle, W., &amp; Zinbarg, R. E.</x:v>
      </x:c>
      <x:c r="J31" s="18" t="n">
        <x:v>2009</x:v>
      </x:c>
      <x:c r="K31" s="14" t="str">
        <x:v>研究文献</x:v>
      </x:c>
      <x:c r="L31" s="14" t="str">
        <x:v>优先</x:v>
      </x:c>
      <x:c r="M31" s="14" t="str">
        <x:v>未取得全文；页面响应不能证明全文权限。</x:v>
      </x:c>
      <x:c r="N31" s="14" t="str">
        <x:v>从 DOI 或出版社页查看全文；也可使用学校图书馆或作者公开版本。</x:v>
      </x:c>
      <x:c r="O31" s="14" t="str">
        <x:v>psych 包作者的回应，ω 系列的技术来源</x:v>
      </x:c>
      <x:c r="P31" s="14" t="str">
        <x:v>10.1007/s11336-008-9102-z</x:v>
      </x:c>
      <x:c r="Q31" s="14" t="str"/>
      <x:c r="R31" s="17"/>
      <x:c r="S31" s="14" t="str"/>
      <x:c r="T31" s="14" t="str"/>
      <x:c r="U31" s="19" t="n">
        <x:v>46303</x:v>
      </x:c>
    </x:row>
    <x:row r="32" ht="68" customHeight="1">
      <x:c r="A32" s="14" t="str">
        <x:v>D-60B23806</x:v>
      </x:c>
      <x:c r="B32" s="14" t="str">
        <x:v>需人工获取</x:v>
      </x:c>
      <x:c r="C32" s="14" t="str">
        <x:v>Coefficient alpha and the internal structure of tests</x:v>
      </x:c>
      <x:c r="D32" s="14" t="str">
        <x:v>英文</x:v>
      </x:c>
      <x:c r="E32" s="15" t="str">
        <x:v>未处理</x:v>
      </x:c>
      <x:c r="F32" s="15" t="str"/>
      <x:c r="G32" s="16" t="str">
        <x:v>https://doi.org/10.1007/bf02310555</x:v>
      </x:c>
      <x:c r="H32" s="14" t="str">
        <x:v>B02；B04；B11</x:v>
      </x:c>
      <x:c r="I32" s="14" t="str">
        <x:v>Cronbach, L. J.</x:v>
      </x:c>
      <x:c r="J32" s="18" t="n">
        <x:v>1951</x:v>
      </x:c>
      <x:c r="K32" s="14" t="str">
        <x:v>研究文献</x:v>
      </x:c>
      <x:c r="L32" s="14" t="str">
        <x:v>优先</x:v>
      </x:c>
      <x:c r="M32" s="14" t="str">
        <x:v>未取得全文；页面响应不能证明全文权限。</x:v>
      </x:c>
      <x:c r="N32" s="14" t="str">
        <x:v>从 DOI 或出版社页查看全文；也可使用学校图书馆或作者公开版本。</x:v>
      </x:c>
      <x:c r="O32" s="14" t="str">
        <x:v>α 的原始文献。值得注意的是 Cronbach 本人后来（2004）明确说过 α 被过度使用了</x:v>
      </x:c>
      <x:c r="P32" s="14" t="str">
        <x:v>10.1007/bf02310555</x:v>
      </x:c>
      <x:c r="Q32" s="14" t="str"/>
      <x:c r="R32" s="17"/>
      <x:c r="S32" s="14" t="str"/>
      <x:c r="T32" s="14" t="str"/>
      <x:c r="U32" s="19" t="n">
        <x:v>46303</x:v>
      </x:c>
    </x:row>
    <x:row r="33" ht="68" customHeight="1">
      <x:c r="A33" s="14" t="str">
        <x:v>D-60185786</x:v>
      </x:c>
      <x:c r="B33" s="14" t="str">
        <x:v>需人工获取</x:v>
      </x:c>
      <x:c r="C33" s="14" t="str">
        <x:v>Construct validity in psychological tests</x:v>
      </x:c>
      <x:c r="D33" s="14" t="str">
        <x:v>英文</x:v>
      </x:c>
      <x:c r="E33" s="15" t="str">
        <x:v>未处理</x:v>
      </x:c>
      <x:c r="F33" s="15" t="str"/>
      <x:c r="G33" s="16" t="str">
        <x:v>https://doi.org/10.1037/h0040957</x:v>
      </x:c>
      <x:c r="H33" s="14" t="str">
        <x:v>B02；B04；B11；J15</x:v>
      </x:c>
      <x:c r="I33" s="14" t="str">
        <x:v>Cronbach, L. J., &amp; Meehl, P. E.</x:v>
      </x:c>
      <x:c r="J33" s="18" t="n">
        <x:v>1955</x:v>
      </x:c>
      <x:c r="K33" s="14" t="str">
        <x:v>研究文献</x:v>
      </x:c>
      <x:c r="L33" s="14" t="str">
        <x:v>优先</x:v>
      </x:c>
      <x:c r="M33" s="14" t="str">
        <x:v>未取得全文；页面响应不能证明全文权限。</x:v>
      </x:c>
      <x:c r="N33" s="14" t="str">
        <x:v>从 DOI 或出版社页查看全文；也可使用学校图书馆或作者公开版本。</x:v>
      </x:c>
      <x:c r="O33" s="14" t="str">
        <x:v>构念效度概念的来源，至今是效度讨论的起点</x:v>
      </x:c>
      <x:c r="P33" s="14" t="str">
        <x:v>10.1037/h0040957</x:v>
      </x:c>
      <x:c r="Q33" s="14" t="str"/>
      <x:c r="R33" s="17"/>
      <x:c r="S33" s="14" t="str"/>
      <x:c r="T33" s="14" t="str"/>
      <x:c r="U33" s="19" t="n">
        <x:v>46303</x:v>
      </x:c>
    </x:row>
    <x:row r="34" ht="68" customHeight="1">
      <x:c r="A34" s="14" t="str">
        <x:v>D-84981CF7</x:v>
      </x:c>
      <x:c r="B34" s="14" t="str">
        <x:v>需人工获取</x:v>
      </x:c>
      <x:c r="C34" s="14" t="str">
        <x:v>A guideline of selecting and reporting intraclass correlation coefficients for reliability research</x:v>
      </x:c>
      <x:c r="D34" s="14" t="str">
        <x:v>英文</x:v>
      </x:c>
      <x:c r="E34" s="15" t="str">
        <x:v>未处理</x:v>
      </x:c>
      <x:c r="F34" s="15" t="str"/>
      <x:c r="G34" s="16" t="str">
        <x:v>https://doi.org/10.1016/j.jcm.2016.02.012</x:v>
      </x:c>
      <x:c r="H34" s="14" t="str">
        <x:v>B03</x:v>
      </x:c>
      <x:c r="I34" s="14" t="str">
        <x:v>Koo, T. K., &amp; Li, M. Y.</x:v>
      </x:c>
      <x:c r="J34" s="18" t="n">
        <x:v>2016</x:v>
      </x:c>
      <x:c r="K34" s="14" t="str">
        <x:v>研究文献</x:v>
      </x:c>
      <x:c r="L34" s="14" t="str">
        <x:v>优先</x:v>
      </x:c>
      <x:c r="M34" s="14" t="str">
        <x:v>未取得全文；页面响应不能证明全文权限。</x:v>
      </x:c>
      <x:c r="N34" s="14" t="str">
        <x:v>从 DOI 或出版社页查看全文；也可使用学校图书馆或作者公开版本。</x:v>
      </x:c>
      <x:c r="O34" s="14" t="str">
        <x:v>**判读基准与报告规范的来源**：.50/.75/.90 三档</x:v>
      </x:c>
      <x:c r="P34" s="14" t="str">
        <x:v>10.1016/j.jcm.2016.02.012</x:v>
      </x:c>
      <x:c r="Q34" s="14" t="str"/>
      <x:c r="R34" s="17"/>
      <x:c r="S34" s="14" t="str"/>
      <x:c r="T34" s="14" t="str"/>
      <x:c r="U34" s="19" t="n">
        <x:v>46303</x:v>
      </x:c>
    </x:row>
    <x:row r="35" ht="68" customHeight="1">
      <x:c r="A35" s="14" t="str">
        <x:v>D-C1233C93</x:v>
      </x:c>
      <x:c r="B35" s="14" t="str">
        <x:v>需人工获取</x:v>
      </x:c>
      <x:c r="C35" s="14" t="str">
        <x:v>Intraclass correlations: Uses in assessing rater reliability</x:v>
      </x:c>
      <x:c r="D35" s="14" t="str">
        <x:v>英文</x:v>
      </x:c>
      <x:c r="E35" s="15" t="str">
        <x:v>未处理</x:v>
      </x:c>
      <x:c r="F35" s="15" t="str"/>
      <x:c r="G35" s="16" t="str">
        <x:v>https://doi.org/10.1037/0033-2909.86.2.420</x:v>
      </x:c>
      <x:c r="H35" s="14" t="str">
        <x:v>B03</x:v>
      </x:c>
      <x:c r="I35" s="14" t="str">
        <x:v>Shrout, P. E., &amp; Fleiss, J. L.</x:v>
      </x:c>
      <x:c r="J35" s="18" t="n">
        <x:v>1979</x:v>
      </x:c>
      <x:c r="K35" s="14" t="str">
        <x:v>研究文献</x:v>
      </x:c>
      <x:c r="L35" s="14" t="str">
        <x:v>优先</x:v>
      </x:c>
      <x:c r="M35" s="14" t="str">
        <x:v>未取得全文；页面响应不能证明全文权限。</x:v>
      </x:c>
      <x:c r="N35" s="14" t="str">
        <x:v>从 DOI 或出版社页查看全文；也可使用学校图书馆或作者公开版本。</x:v>
      </x:c>
      <x:c r="O35" s="14" t="str">
        <x:v>六种 ICC 形式的来源</x:v>
      </x:c>
      <x:c r="P35" s="14" t="str">
        <x:v>10.1037/0033-2909.86.2.420</x:v>
      </x:c>
      <x:c r="Q35" s="14" t="str"/>
      <x:c r="R35" s="17"/>
      <x:c r="S35" s="14" t="str"/>
      <x:c r="T35" s="14" t="str"/>
      <x:c r="U35" s="19" t="n">
        <x:v>46303</x:v>
      </x:c>
    </x:row>
    <x:row r="36" ht="68" customHeight="1">
      <x:c r="A36" s="14" t="str">
        <x:v>D-05A55FEC</x:v>
      </x:c>
      <x:c r="B36" s="14" t="str">
        <x:v>需人工获取</x:v>
      </x:c>
      <x:c r="C36" s="14" t="str">
        <x:v>A new criterion for assessing discriminant validity in variance-based structural equation modeling</x:v>
      </x:c>
      <x:c r="D36" s="14" t="str">
        <x:v>英文</x:v>
      </x:c>
      <x:c r="E36" s="15" t="str">
        <x:v>未处理</x:v>
      </x:c>
      <x:c r="F36" s="15" t="str"/>
      <x:c r="G36" s="16" t="str">
        <x:v>https://doi.org/10.1007/s11747-014-0403-8</x:v>
      </x:c>
      <x:c r="H36" s="14" t="str">
        <x:v>B04</x:v>
      </x:c>
      <x:c r="I36" s="14" t="str">
        <x:v>Henseler, J., Ringle, C. M., &amp; Sarstedt, M.</x:v>
      </x:c>
      <x:c r="J36" s="18" t="n">
        <x:v>2015</x:v>
      </x:c>
      <x:c r="K36" s="14" t="str">
        <x:v>研究文献</x:v>
      </x:c>
      <x:c r="L36" s="14" t="str">
        <x:v>优先</x:v>
      </x:c>
      <x:c r="M36" s="14" t="str">
        <x:v>未取得全文；页面响应不能证明全文权限。</x:v>
      </x:c>
      <x:c r="N36" s="14" t="str">
        <x:v>从 DOI 或出版社页查看全文；也可使用学校图书馆或作者公开版本。</x:v>
      </x:c>
      <x:c r="O36" s="14" t="str">
        <x:v>**HTMT &lt; .85 判据的来源**，证明它优于 Fornell-Larcker</x:v>
      </x:c>
      <x:c r="P36" s="14" t="str">
        <x:v>10.1007/s11747-014-0403-8</x:v>
      </x:c>
      <x:c r="Q36" s="14" t="str"/>
      <x:c r="R36" s="17"/>
      <x:c r="S36" s="14" t="str"/>
      <x:c r="T36" s="14" t="str"/>
      <x:c r="U36" s="19" t="n">
        <x:v>46303</x:v>
      </x:c>
    </x:row>
    <x:row r="37" ht="68" customHeight="1">
      <x:c r="A37" s="14" t="str">
        <x:v>D-DFE0F7D8</x:v>
      </x:c>
      <x:c r="B37" s="14" t="str">
        <x:v>需人工获取</x:v>
      </x:c>
      <x:c r="C37" s="14" t="str">
        <x:v>Convergent and discriminant validation by the multitrait-multimethod matrix</x:v>
      </x:c>
      <x:c r="D37" s="14" t="str">
        <x:v>英文</x:v>
      </x:c>
      <x:c r="E37" s="15" t="str">
        <x:v>未处理</x:v>
      </x:c>
      <x:c r="F37" s="15" t="str"/>
      <x:c r="G37" s="16" t="str">
        <x:v>https://doi.org/10.1037/h0046016</x:v>
      </x:c>
      <x:c r="H37" s="14" t="str">
        <x:v>B04</x:v>
      </x:c>
      <x:c r="I37" s="14" t="str">
        <x:v>Campbell, D. T., &amp; Fiske, D. W.</x:v>
      </x:c>
      <x:c r="J37" s="18" t="n">
        <x:v>1959</x:v>
      </x:c>
      <x:c r="K37" s="14" t="str">
        <x:v>研究文献</x:v>
      </x:c>
      <x:c r="L37" s="14" t="str">
        <x:v>优先</x:v>
      </x:c>
      <x:c r="M37" s="14" t="str">
        <x:v>未取得全文；页面响应不能证明全文权限。</x:v>
      </x:c>
      <x:c r="N37" s="14" t="str">
        <x:v>从 DOI 或出版社页查看全文；也可使用学校图书馆或作者公开版本。</x:v>
      </x:c>
      <x:c r="O37" s="14" t="str">
        <x:v>MTMM 矩阵的原始文献</x:v>
      </x:c>
      <x:c r="P37" s="14" t="str">
        <x:v>10.1037/h0046016</x:v>
      </x:c>
      <x:c r="Q37" s="14" t="str"/>
      <x:c r="R37" s="17"/>
      <x:c r="S37" s="14" t="str"/>
      <x:c r="T37" s="14" t="str"/>
      <x:c r="U37" s="19" t="n">
        <x:v>46303</x:v>
      </x:c>
    </x:row>
    <x:row r="38" ht="68" customHeight="1">
      <x:c r="A38" s="14" t="str">
        <x:v>D-FA18FAE2</x:v>
      </x:c>
      <x:c r="B38" s="14" t="str">
        <x:v>需人工获取</x:v>
      </x:c>
      <x:c r="C38" s="14" t="str">
        <x:v>Best practices in exploratory factor analysis</x:v>
      </x:c>
      <x:c r="D38" s="14" t="str">
        <x:v>英文</x:v>
      </x:c>
      <x:c r="E38" s="15" t="str">
        <x:v>未处理</x:v>
      </x:c>
      <x:c r="F38" s="15" t="str"/>
      <x:c r="G38" s="16" t="str">
        <x:v>https://doi.org/10.4135/9781412995627.d8</x:v>
      </x:c>
      <x:c r="H38" s="14" t="str">
        <x:v>B05</x:v>
      </x:c>
      <x:c r="I38" s="14" t="str">
        <x:v>Costello, A. B., &amp; Osborne, J. W.</x:v>
      </x:c>
      <x:c r="J38" s="18" t="n">
        <x:v>2005</x:v>
      </x:c>
      <x:c r="K38" s="14" t="str">
        <x:v>研究文献</x:v>
      </x:c>
      <x:c r="L38" s="14" t="str">
        <x:v>优先</x:v>
      </x:c>
      <x:c r="M38" s="14" t="str">
        <x:v>未取得全文；页面响应不能证明全文权限。</x:v>
      </x:c>
      <x:c r="N38" s="14" t="str">
        <x:v>从 DOI 或出版社页查看全文；也可使用学校图书馆或作者公开版本。</x:v>
      </x:c>
      <x:c r="O38" s="14" t="str">
        <x:v>免费获取，操作性强，适合直接照着做</x:v>
      </x:c>
      <x:c r="P38" s="14" t="str">
        <x:v>10.4135/9781412995627.d8</x:v>
      </x:c>
      <x:c r="Q38" s="14" t="str"/>
      <x:c r="R38" s="17"/>
      <x:c r="S38" s="14" t="str"/>
      <x:c r="T38" s="14" t="str"/>
      <x:c r="U38" s="19" t="n">
        <x:v>46303</x:v>
      </x:c>
    </x:row>
    <x:row r="39" ht="68" customHeight="1">
      <x:c r="A39" s="14" t="str">
        <x:v>D-12FE12E6</x:v>
      </x:c>
      <x:c r="B39" s="14" t="str">
        <x:v>需人工获取</x:v>
      </x:c>
      <x:c r="C39" s="14" t="str">
        <x:v>A general approach to confirmatory maximum likelihood factor analysis</x:v>
      </x:c>
      <x:c r="D39" s="14" t="str">
        <x:v>英文</x:v>
      </x:c>
      <x:c r="E39" s="15" t="str">
        <x:v>未处理</x:v>
      </x:c>
      <x:c r="F39" s="15" t="str"/>
      <x:c r="G39" s="16" t="str">
        <x:v>https://doi.org/10.1007/bf02289343</x:v>
      </x:c>
      <x:c r="H39" s="14" t="str">
        <x:v>B05；B06</x:v>
      </x:c>
      <x:c r="I39" s="14" t="str">
        <x:v>Jöreskog, K. G.</x:v>
      </x:c>
      <x:c r="J39" s="18" t="n">
        <x:v>1969</x:v>
      </x:c>
      <x:c r="K39" s="14" t="str">
        <x:v>研究文献</x:v>
      </x:c>
      <x:c r="L39" s="14" t="str">
        <x:v>优先</x:v>
      </x:c>
      <x:c r="M39" s="14" t="str">
        <x:v>未取得全文；页面响应不能证明全文权限。</x:v>
      </x:c>
      <x:c r="N39" s="14" t="str">
        <x:v>从 DOI 或出版社页查看全文；也可使用学校图书馆或作者公开版本。</x:v>
      </x:c>
      <x:c r="O39" s="14" t="str">
        <x:v>CFA 的原始文献</x:v>
      </x:c>
      <x:c r="P39" s="14" t="str">
        <x:v>10.1007/bf02289343</x:v>
      </x:c>
      <x:c r="Q39" s="14" t="str"/>
      <x:c r="R39" s="17"/>
      <x:c r="S39" s="14" t="str"/>
      <x:c r="T39" s="14" t="str"/>
      <x:c r="U39" s="19" t="n">
        <x:v>46303</x:v>
      </x:c>
    </x:row>
    <x:row r="40" ht="68" customHeight="1">
      <x:c r="A40" s="14" t="str">
        <x:v>D-5D0BA986</x:v>
      </x:c>
      <x:c r="B40" s="14" t="str">
        <x:v>需人工获取</x:v>
      </x:c>
      <x:c r="C40" s="14" t="str">
        <x:v>Evaluating the use of exploratory factor analysis in psychological research</x:v>
      </x:c>
      <x:c r="D40" s="14" t="str">
        <x:v>英文</x:v>
      </x:c>
      <x:c r="E40" s="15" t="str">
        <x:v>未处理</x:v>
      </x:c>
      <x:c r="F40" s="15" t="str"/>
      <x:c r="G40" s="16" t="str">
        <x:v>https://doi.org/10.1037/1082-989x.4.3.272</x:v>
      </x:c>
      <x:c r="H40" s="14" t="str">
        <x:v>B05；I02</x:v>
      </x:c>
      <x:c r="I40" s="14" t="str">
        <x:v>Fabrigar, L. R., Wegener, D. T., MacCallum, R. C., &amp; Strahan, E. J.</x:v>
      </x:c>
      <x:c r="J40" s="18" t="n">
        <x:v>1999</x:v>
      </x:c>
      <x:c r="K40" s="14" t="str">
        <x:v>研究文献</x:v>
      </x:c>
      <x:c r="L40" s="14" t="str">
        <x:v>优先</x:v>
      </x:c>
      <x:c r="M40" s="14" t="str">
        <x:v>未取得全文；页面响应不能证明全文权限。</x:v>
      </x:c>
      <x:c r="N40" s="14" t="str">
        <x:v>从 DOI 或出版社页查看全文；也可使用学校图书馆或作者公开版本。</x:v>
      </x:c>
      <x:c r="O40" s="14" t="str">
        <x:v>**做 EFA 前必读**。逐条讲清楚抽取方法、旋转、因子数三个决策该怎么做，以及心理学论文里普遍怎么做错</x:v>
      </x:c>
      <x:c r="P40" s="14" t="str">
        <x:v>10.1037/1082-989x.4.3.272</x:v>
      </x:c>
      <x:c r="Q40" s="14" t="str"/>
      <x:c r="R40" s="17"/>
      <x:c r="S40" s="14" t="str"/>
      <x:c r="T40" s="14" t="str"/>
      <x:c r="U40" s="19" t="n">
        <x:v>46303</x:v>
      </x:c>
    </x:row>
    <x:row r="41" ht="68" customHeight="1">
      <x:c r="A41" s="14" t="str">
        <x:v>D-88CD4BB8</x:v>
      </x:c>
      <x:c r="B41" s="14" t="str">
        <x:v>需人工获取</x:v>
      </x:c>
      <x:c r="C41" s="14" t="str">
        <x:v>A rationale and test for the number of factors in factor analysis</x:v>
      </x:c>
      <x:c r="D41" s="14" t="str">
        <x:v>英文</x:v>
      </x:c>
      <x:c r="E41" s="15" t="str">
        <x:v>未处理</x:v>
      </x:c>
      <x:c r="F41" s="15" t="str"/>
      <x:c r="G41" s="16" t="str">
        <x:v>https://doi.org/10.1007/bf02289447</x:v>
      </x:c>
      <x:c r="H41" s="14" t="str">
        <x:v>B05；M05</x:v>
      </x:c>
      <x:c r="I41" s="14" t="str">
        <x:v>Horn, J. L.</x:v>
      </x:c>
      <x:c r="J41" s="18" t="n">
        <x:v>1965</x:v>
      </x:c>
      <x:c r="K41" s="14" t="str">
        <x:v>研究文献</x:v>
      </x:c>
      <x:c r="L41" s="14" t="str">
        <x:v>优先</x:v>
      </x:c>
      <x:c r="M41" s="14" t="str">
        <x:v>未取得全文；页面响应不能证明全文权限。</x:v>
      </x:c>
      <x:c r="N41" s="14" t="str">
        <x:v>从 DOI 或出版社页查看全文；也可使用学校图书馆或作者公开版本。</x:v>
      </x:c>
      <x:c r="O41" s="14" t="str">
        <x:v>平行分析的原始文献——特征值该怎么用的正确答案</x:v>
      </x:c>
      <x:c r="P41" s="14" t="str">
        <x:v>10.1007/bf02289447</x:v>
      </x:c>
      <x:c r="Q41" s="14" t="str"/>
      <x:c r="R41" s="17"/>
      <x:c r="S41" s="14" t="str"/>
      <x:c r="T41" s="14" t="str"/>
      <x:c r="U41" s="19" t="n">
        <x:v>46303</x:v>
      </x:c>
    </x:row>
    <x:row r="42" ht="68" customHeight="1">
      <x:c r="A42" s="14" t="str">
        <x:v>D-D371D55C</x:v>
      </x:c>
      <x:c r="B42" s="14" t="str">
        <x:v>需人工获取</x:v>
      </x:c>
      <x:c r="C42" s="14" t="str">
        <x:v>Cutoff criteria for fit indexes in covariance structure analysis</x:v>
      </x:c>
      <x:c r="D42" s="14" t="str">
        <x:v>英文</x:v>
      </x:c>
      <x:c r="E42" s="15" t="str">
        <x:v>未处理</x:v>
      </x:c>
      <x:c r="F42" s="15" t="str"/>
      <x:c r="G42" s="16" t="str">
        <x:v>https://doi.org/10.1080/10705519909540118</x:v>
      </x:c>
      <x:c r="H42" s="14" t="str">
        <x:v>B06</x:v>
      </x:c>
      <x:c r="I42" s="14" t="str">
        <x:v>Hu, L., &amp; Bentler, P. M.</x:v>
      </x:c>
      <x:c r="J42" s="18" t="n">
        <x:v>1999</x:v>
      </x:c>
      <x:c r="K42" s="14" t="str">
        <x:v>研究文献</x:v>
      </x:c>
      <x:c r="L42" s="14" t="str">
        <x:v>优先</x:v>
      </x:c>
      <x:c r="M42" s="14" t="str">
        <x:v>未取得全文；页面响应不能证明全文权限。</x:v>
      </x:c>
      <x:c r="N42" s="14" t="str">
        <x:v>从 DOI 或出版社页查看全文；也可使用学校图书馆或作者公开版本。</x:v>
      </x:c>
      <x:c r="O42" s="14" t="str">
        <x:v>CFI ≥ .95、RMSEA ≤ .06 这些数字的来源。**读它是为了知道这些界值的适用条件有多窄**</x:v>
      </x:c>
      <x:c r="P42" s="14" t="str">
        <x:v>10.1080/10705519909540118</x:v>
      </x:c>
      <x:c r="Q42" s="14" t="str"/>
      <x:c r="R42" s="17"/>
      <x:c r="S42" s="14" t="str"/>
      <x:c r="T42" s="14" t="str"/>
      <x:c r="U42" s="19" t="n">
        <x:v>46303</x:v>
      </x:c>
    </x:row>
    <x:row r="43" ht="68" customHeight="1">
      <x:c r="A43" s="14" t="str">
        <x:v>D-4CB0D2E5</x:v>
      </x:c>
      <x:c r="B43" s="14" t="str">
        <x:v>需人工获取</x:v>
      </x:c>
      <x:c r="C43" s="14" t="str">
        <x:v>Evaluating bifactor models: Calculating and interpreting statistical indices</x:v>
      </x:c>
      <x:c r="D43" s="14" t="str">
        <x:v>英文</x:v>
      </x:c>
      <x:c r="E43" s="15" t="str">
        <x:v>未处理</x:v>
      </x:c>
      <x:c r="F43" s="15" t="str"/>
      <x:c r="G43" s="16" t="str">
        <x:v>https://doi.org/10.1037/met0000045</x:v>
      </x:c>
      <x:c r="H43" s="14" t="str">
        <x:v>B07</x:v>
      </x:c>
      <x:c r="I43" s="14" t="str">
        <x:v>Rodriguez, A., Reise, S. P., &amp; Haviland, M. G.</x:v>
      </x:c>
      <x:c r="J43" s="18" t="n">
        <x:v>2016</x:v>
      </x:c>
      <x:c r="K43" s="14" t="str">
        <x:v>研究文献</x:v>
      </x:c>
      <x:c r="L43" s="14" t="str">
        <x:v>优先</x:v>
      </x:c>
      <x:c r="M43" s="14" t="str">
        <x:v>未取得全文；页面响应不能证明全文权限。</x:v>
      </x:c>
      <x:c r="N43" s="14" t="str">
        <x:v>从 DOI 或出版社页查看全文；也可使用学校图书馆或作者公开版本。</x:v>
      </x:c>
      <x:c r="O43" s="14" t="str">
        <x:v>**ω_h、ECV、PUC 这些指标怎么算、怎么读**</x:v>
      </x:c>
      <x:c r="P43" s="14" t="str">
        <x:v>10.1037/met0000045</x:v>
      </x:c>
      <x:c r="Q43" s="14" t="str"/>
      <x:c r="R43" s="17"/>
      <x:c r="S43" s="14" t="str"/>
      <x:c r="T43" s="14" t="str"/>
      <x:c r="U43" s="19" t="n">
        <x:v>46303</x:v>
      </x:c>
    </x:row>
    <x:row r="44" ht="68" customHeight="1">
      <x:c r="A44" s="14" t="str">
        <x:v>D-19C920D9</x:v>
      </x:c>
      <x:c r="B44" s="14" t="str">
        <x:v>需人工获取</x:v>
      </x:c>
      <x:c r="C44" s="14" t="str">
        <x:v>The rediscovery of bifactor measurement models</x:v>
      </x:c>
      <x:c r="D44" s="14" t="str">
        <x:v>英文</x:v>
      </x:c>
      <x:c r="E44" s="15" t="str">
        <x:v>未处理</x:v>
      </x:c>
      <x:c r="F44" s="15" t="str"/>
      <x:c r="G44" s="16" t="str">
        <x:v>https://doi.org/10.1080/00273171.2012.715555</x:v>
      </x:c>
      <x:c r="H44" s="14" t="str">
        <x:v>B07</x:v>
      </x:c>
      <x:c r="I44" s="14" t="str">
        <x:v>Reise, S. P.</x:v>
      </x:c>
      <x:c r="J44" s="18" t="n">
        <x:v>2012</x:v>
      </x:c>
      <x:c r="K44" s="14" t="str">
        <x:v>研究文献</x:v>
      </x:c>
      <x:c r="L44" s="14" t="str">
        <x:v>优先</x:v>
      </x:c>
      <x:c r="M44" s="14" t="str">
        <x:v>未取得全文；页面响应不能证明全文权限。</x:v>
      </x:c>
      <x:c r="N44" s="14" t="str">
        <x:v>从 DOI 或出版社页查看全文；也可使用学校图书馆或作者公开版本。</x:v>
      </x:c>
      <x:c r="O44" s="14" t="str">
        <x:v>双因子模型在心理学复兴的标志性综述</x:v>
      </x:c>
      <x:c r="P44" s="14" t="str">
        <x:v>10.1080/00273171.2012.715555</x:v>
      </x:c>
      <x:c r="Q44" s="14" t="str"/>
      <x:c r="R44" s="17"/>
      <x:c r="S44" s="14" t="str"/>
      <x:c r="T44" s="14" t="str"/>
      <x:c r="U44" s="19" t="n">
        <x:v>46303</x:v>
      </x:c>
    </x:row>
    <x:row r="45" ht="68" customHeight="1">
      <x:c r="A45" s="14" t="str">
        <x:v>D-54428291</x:v>
      </x:c>
      <x:c r="B45" s="14" t="str">
        <x:v>需人工获取</x:v>
      </x:c>
      <x:c r="C45" s="14" t="str">
        <x:v>Exploratory structural equation modeling</x:v>
      </x:c>
      <x:c r="D45" s="14" t="str">
        <x:v>英文</x:v>
      </x:c>
      <x:c r="E45" s="15" t="str">
        <x:v>未处理</x:v>
      </x:c>
      <x:c r="F45" s="15" t="str"/>
      <x:c r="G45" s="16" t="str">
        <x:v>https://doi.org/10.1080/10705510903008204</x:v>
      </x:c>
      <x:c r="H45" s="14" t="str">
        <x:v>B08</x:v>
      </x:c>
      <x:c r="I45" s="14" t="str">
        <x:v>Asparouhov, T., &amp; Muthén, B.</x:v>
      </x:c>
      <x:c r="J45" s="18" t="n">
        <x:v>2009</x:v>
      </x:c>
      <x:c r="K45" s="14" t="str">
        <x:v>研究文献</x:v>
      </x:c>
      <x:c r="L45" s="14" t="str">
        <x:v>优先</x:v>
      </x:c>
      <x:c r="M45" s="14" t="str">
        <x:v>未取得全文；页面响应不能证明全文权限。</x:v>
      </x:c>
      <x:c r="N45" s="14" t="str">
        <x:v>从 DOI 或出版社页查看全文；也可使用学校图书馆或作者公开版本。</x:v>
      </x:c>
      <x:c r="O45" s="14" t="str">
        <x:v>ESEM 的原始文献</x:v>
      </x:c>
      <x:c r="P45" s="14" t="str">
        <x:v>10.1080/10705510903008204</x:v>
      </x:c>
      <x:c r="Q45" s="14" t="str"/>
      <x:c r="R45" s="17"/>
      <x:c r="S45" s="14" t="str"/>
      <x:c r="T45" s="14" t="str"/>
      <x:c r="U45" s="19" t="n">
        <x:v>46303</x:v>
      </x:c>
    </x:row>
    <x:row r="46" ht="68" customHeight="1">
      <x:c r="A46" s="14" t="str">
        <x:v>D-B1276C9A</x:v>
      </x:c>
      <x:c r="B46" s="14" t="str">
        <x:v>需人工获取</x:v>
      </x:c>
      <x:c r="C46" s="14" t="str">
        <x:v>Exploratory structural equation modeling: An integration of the best features of exploratory and confirmatory factor analysis</x:v>
      </x:c>
      <x:c r="D46" s="14" t="str">
        <x:v>英文</x:v>
      </x:c>
      <x:c r="E46" s="15" t="str">
        <x:v>未处理</x:v>
      </x:c>
      <x:c r="F46" s="15" t="str"/>
      <x:c r="G46" s="16" t="str">
        <x:v>https://doi.org/10.1146/annurev-clinpsy-032813-153700</x:v>
      </x:c>
      <x:c r="H46" s="14" t="str">
        <x:v>B08</x:v>
      </x:c>
      <x:c r="I46" s="14" t="str">
        <x:v>Marsh, H. W., Morin, A. J. S., Parker, P. D., &amp; Kaur, G.</x:v>
      </x:c>
      <x:c r="J46" s="18" t="n">
        <x:v>2014</x:v>
      </x:c>
      <x:c r="K46" s="14" t="str">
        <x:v>研究文献</x:v>
      </x:c>
      <x:c r="L46" s="14" t="str">
        <x:v>优先</x:v>
      </x:c>
      <x:c r="M46" s="14" t="str">
        <x:v>未取得全文；页面响应不能证明全文权限。</x:v>
      </x:c>
      <x:c r="N46" s="14" t="str">
        <x:v>从 DOI 或出版社页查看全文；也可使用学校图书馆或作者公开版本。</x:v>
      </x:c>
      <x:c r="O46" s="14" t="str">
        <x:v>**为什么人格五因素在 CFA 下几乎从未拟合过**，以及 ESEM 怎么解决</x:v>
      </x:c>
      <x:c r="P46" s="14" t="str">
        <x:v>10.1146/annurev-clinpsy-032813-153700</x:v>
      </x:c>
      <x:c r="Q46" s="14" t="str"/>
      <x:c r="R46" s="17"/>
      <x:c r="S46" s="14" t="str"/>
      <x:c r="T46" s="14" t="str"/>
      <x:c r="U46" s="19" t="n">
        <x:v>46303</x:v>
      </x:c>
    </x:row>
    <x:row r="47" ht="68" customHeight="1">
      <x:c r="A47" s="14" t="str">
        <x:v>D-6DCDA914</x:v>
      </x:c>
      <x:c r="B47" s="14" t="str">
        <x:v>需人工获取</x:v>
      </x:c>
      <x:c r="C47" s="14" t="str">
        <x:v>A review and synthesis of the measurement invariance literature</x:v>
      </x:c>
      <x:c r="D47" s="14" t="str">
        <x:v>英文</x:v>
      </x:c>
      <x:c r="E47" s="15" t="str">
        <x:v>未处理</x:v>
      </x:c>
      <x:c r="F47" s="15" t="str"/>
      <x:c r="G47" s="16" t="str">
        <x:v>https://doi.org/10.1177/109442810031002</x:v>
      </x:c>
      <x:c r="H47" s="14" t="str">
        <x:v>B09</x:v>
      </x:c>
      <x:c r="I47" s="14" t="str">
        <x:v>Vandenberg, R. J., &amp; Lance, C. E.</x:v>
      </x:c>
      <x:c r="J47" s="18" t="n">
        <x:v>2000</x:v>
      </x:c>
      <x:c r="K47" s="14" t="str">
        <x:v>研究文献</x:v>
      </x:c>
      <x:c r="L47" s="14" t="str">
        <x:v>优先</x:v>
      </x:c>
      <x:c r="M47" s="14" t="str">
        <x:v>未取得全文；页面响应不能证明全文权限。</x:v>
      </x:c>
      <x:c r="N47" s="14" t="str">
        <x:v>从 DOI 或出版社页查看全文；也可使用学校图书馆或作者公开版本。</x:v>
      </x:c>
      <x:c r="O47" s="14" t="str">
        <x:v>确立了逐层检验的标准流程，被引极多</x:v>
      </x:c>
      <x:c r="P47" s="14" t="str">
        <x:v>10.1177/109442810031002</x:v>
      </x:c>
      <x:c r="Q47" s="14" t="str"/>
      <x:c r="R47" s="17"/>
      <x:c r="S47" s="14" t="str"/>
      <x:c r="T47" s="14" t="str"/>
      <x:c r="U47" s="19" t="n">
        <x:v>46303</x:v>
      </x:c>
    </x:row>
    <x:row r="48" ht="68" customHeight="1">
      <x:c r="A48" s="14" t="str">
        <x:v>D-03A9A4DD</x:v>
      </x:c>
      <x:c r="B48" s="14" t="str">
        <x:v>需人工获取</x:v>
      </x:c>
      <x:c r="C48" s="14" t="str">
        <x:v>Sensitivity of goodness of fit indexes to lack of measurement invariance</x:v>
      </x:c>
      <x:c r="D48" s="14" t="str">
        <x:v>英文</x:v>
      </x:c>
      <x:c r="E48" s="15" t="str">
        <x:v>未处理</x:v>
      </x:c>
      <x:c r="F48" s="15" t="str"/>
      <x:c r="G48" s="16" t="str">
        <x:v>https://doi.org/10.1080/10705510701301834</x:v>
      </x:c>
      <x:c r="H48" s="14" t="str">
        <x:v>B09</x:v>
      </x:c>
      <x:c r="I48" s="14" t="str">
        <x:v>Chen, F. F.</x:v>
      </x:c>
      <x:c r="J48" s="18" t="n">
        <x:v>2007</x:v>
      </x:c>
      <x:c r="K48" s="14" t="str">
        <x:v>研究文献</x:v>
      </x:c>
      <x:c r="L48" s="14" t="str">
        <x:v>优先</x:v>
      </x:c>
      <x:c r="M48" s="14" t="str">
        <x:v>未取得全文；页面响应不能证明全文权限。</x:v>
      </x:c>
      <x:c r="N48" s="14" t="str">
        <x:v>从 DOI 或出版社页查看全文；也可使用学校图书馆或作者公开版本。</x:v>
      </x:c>
      <x:c r="O48" s="14" t="str">
        <x:v>**ΔCFI ≤ .010 这个判据的来源**</x:v>
      </x:c>
      <x:c r="P48" s="14" t="str">
        <x:v>10.1080/10705510701301834</x:v>
      </x:c>
      <x:c r="Q48" s="14" t="str"/>
      <x:c r="R48" s="17"/>
      <x:c r="S48" s="14" t="str"/>
      <x:c r="T48" s="14" t="str"/>
      <x:c r="U48" s="19" t="n">
        <x:v>46303</x:v>
      </x:c>
    </x:row>
    <x:row r="49" ht="68" customHeight="1">
      <x:c r="A49" s="14" t="str">
        <x:v>D-4E143433</x:v>
      </x:c>
      <x:c r="B49" s="14" t="str">
        <x:v>需人工获取</x:v>
      </x:c>
      <x:c r="C49" s="14" t="str">
        <x:v>Measurement invariance, factor analysis and factorial invariance</x:v>
      </x:c>
      <x:c r="D49" s="14" t="str">
        <x:v>英文</x:v>
      </x:c>
      <x:c r="E49" s="15" t="str">
        <x:v>未处理</x:v>
      </x:c>
      <x:c r="F49" s="15" t="str"/>
      <x:c r="G49" s="16" t="str">
        <x:v>https://doi.org/10.1007/bf02294825</x:v>
      </x:c>
      <x:c r="H49" s="14" t="str">
        <x:v>B09；B19；B20；E03</x:v>
      </x:c>
      <x:c r="I49" s="14" t="str">
        <x:v>Meredith, W.</x:v>
      </x:c>
      <x:c r="J49" s="18" t="n">
        <x:v>1993</x:v>
      </x:c>
      <x:c r="K49" s="14" t="str">
        <x:v>研究文献</x:v>
      </x:c>
      <x:c r="L49" s="14" t="str">
        <x:v>优先</x:v>
      </x:c>
      <x:c r="M49" s="14" t="str">
        <x:v>未取得全文；页面响应不能证明全文权限。</x:v>
      </x:c>
      <x:c r="N49" s="14" t="str">
        <x:v>从 DOI 或出版社页查看全文；也可使用学校图书馆或作者公开版本。</x:v>
      </x:c>
      <x:c r="O49" s="14" t="str">
        <x:v>等值性层级的数学定义</x:v>
      </x:c>
      <x:c r="P49" s="14" t="str">
        <x:v>10.1007/bf02294825</x:v>
      </x:c>
      <x:c r="Q49" s="14" t="str"/>
      <x:c r="R49" s="17"/>
      <x:c r="S49" s="14" t="str"/>
      <x:c r="T49" s="14" t="str"/>
      <x:c r="U49" s="19" t="n">
        <x:v>46303</x:v>
      </x:c>
    </x:row>
    <x:row r="50" ht="68" customHeight="1">
      <x:c r="A50" s="14" t="str">
        <x:v>D-A35FE8A4</x:v>
      </x:c>
      <x:c r="B50" s="14" t="str">
        <x:v>需人工获取</x:v>
      </x:c>
      <x:c r="C50" s="14" t="str">
        <x:v>Measurement invariance conventions and reporting: The state of the art and future directions</x:v>
      </x:c>
      <x:c r="D50" s="14" t="str">
        <x:v>英文</x:v>
      </x:c>
      <x:c r="E50" s="15" t="str">
        <x:v>未处理</x:v>
      </x:c>
      <x:c r="F50" s="15" t="str"/>
      <x:c r="G50" s="16" t="str">
        <x:v>https://doi.org/10.1016/j.dr.2016.06.004</x:v>
      </x:c>
      <x:c r="H50" s="14" t="str">
        <x:v>B09；E03</x:v>
      </x:c>
      <x:c r="I50" s="14" t="str">
        <x:v>Putnick, D. L., &amp; Bornstein, M. H.</x:v>
      </x:c>
      <x:c r="J50" s="18" t="n">
        <x:v>2016</x:v>
      </x:c>
      <x:c r="K50" s="14" t="str">
        <x:v>研究文献</x:v>
      </x:c>
      <x:c r="L50" s="14" t="str">
        <x:v>优先</x:v>
      </x:c>
      <x:c r="M50" s="14" t="str">
        <x:v>未取得全文；页面响应不能证明全文权限。</x:v>
      </x:c>
      <x:c r="N50" s="14" t="str">
        <x:v>从 DOI 或出版社页查看全文；也可使用学校图书馆或作者公开版本。</x:v>
      </x:c>
      <x:c r="O50" s="14" t="str">
        <x:v>报告规范的当前标准，含常见错误清单</x:v>
      </x:c>
      <x:c r="P50" s="14" t="str">
        <x:v>10.1016/j.dr.2016.06.004</x:v>
      </x:c>
      <x:c r="Q50" s="14" t="str"/>
      <x:c r="R50" s="17"/>
      <x:c r="S50" s="14" t="str"/>
      <x:c r="T50" s="14" t="str"/>
      <x:c r="U50" s="19" t="n">
        <x:v>46303</x:v>
      </x:c>
    </x:row>
    <x:row r="51" ht="68" customHeight="1">
      <x:c r="A51" s="14" t="str">
        <x:v>D-F5D43380</x:v>
      </x:c>
      <x:c r="B51" s="14" t="str">
        <x:v>需人工获取</x:v>
      </x:c>
      <x:c r="C51" s="14" t="str">
        <x:v>Recent methods for the study of measurement invariance with many groups: Alignment and random effects</x:v>
      </x:c>
      <x:c r="D51" s="14" t="str">
        <x:v>英文</x:v>
      </x:c>
      <x:c r="E51" s="15" t="str">
        <x:v>未处理</x:v>
      </x:c>
      <x:c r="F51" s="15" t="str"/>
      <x:c r="G51" s="16" t="str">
        <x:v>https://doi.org/10.1177/0049124117701488</x:v>
      </x:c>
      <x:c r="H51" s="14" t="str">
        <x:v>B10</x:v>
      </x:c>
      <x:c r="I51" s="14" t="str">
        <x:v>Muthén, B., &amp; Asparouhov, T.</x:v>
      </x:c>
      <x:c r="J51" s="18" t="n">
        <x:v>2018</x:v>
      </x:c>
      <x:c r="K51" s="14" t="str">
        <x:v>研究文献</x:v>
      </x:c>
      <x:c r="L51" s="14" t="str">
        <x:v>优先</x:v>
      </x:c>
      <x:c r="M51" s="14" t="str">
        <x:v>未取得全文；页面响应不能证明全文权限。</x:v>
      </x:c>
      <x:c r="N51" s="14" t="str">
        <x:v>从 DOI 或出版社页查看全文；也可使用学校图书馆或作者公开版本。</x:v>
      </x:c>
      <x:c r="O51" s="14" t="str">
        <x:v>**组数很多时该怎么办**的系统回答，含实例</x:v>
      </x:c>
      <x:c r="P51" s="14" t="str">
        <x:v>10.1177/0049124117701488</x:v>
      </x:c>
      <x:c r="Q51" s="14" t="str"/>
      <x:c r="R51" s="17"/>
      <x:c r="S51" s="14" t="str"/>
      <x:c r="T51" s="14" t="str"/>
      <x:c r="U51" s="19" t="n">
        <x:v>46303</x:v>
      </x:c>
    </x:row>
    <x:row r="52" ht="68" customHeight="1">
      <x:c r="A52" s="14" t="str">
        <x:v>D-936F855C</x:v>
      </x:c>
      <x:c r="B52" s="14" t="str">
        <x:v>需人工获取</x:v>
      </x:c>
      <x:c r="C52" s="14" t="str">
        <x:v>Multiple-group factor analysis alignment</x:v>
      </x:c>
      <x:c r="D52" s="14" t="str">
        <x:v>英文</x:v>
      </x:c>
      <x:c r="E52" s="15" t="str">
        <x:v>未处理</x:v>
      </x:c>
      <x:c r="F52" s="15" t="str"/>
      <x:c r="G52" s="16" t="str">
        <x:v>https://doi.org/10.1080/10705511.2014.919210</x:v>
      </x:c>
      <x:c r="H52" s="14" t="str">
        <x:v>B10；B14；B21</x:v>
      </x:c>
      <x:c r="I52" s="14" t="str">
        <x:v>Asparouhov, T., &amp; Muthén, B.</x:v>
      </x:c>
      <x:c r="J52" s="18" t="n">
        <x:v>2014</x:v>
      </x:c>
      <x:c r="K52" s="14" t="str">
        <x:v>研究文献</x:v>
      </x:c>
      <x:c r="L52" s="14" t="str">
        <x:v>优先</x:v>
      </x:c>
      <x:c r="M52" s="14" t="str">
        <x:v>未取得全文；页面响应不能证明全文权限。</x:v>
      </x:c>
      <x:c r="N52" s="14" t="str">
        <x:v>从 DOI 或出版社页查看全文；也可使用学校图书馆或作者公开版本。</x:v>
      </x:c>
      <x:c r="O52" s="14" t="str">
        <x:v>对齐法的原始文献</x:v>
      </x:c>
      <x:c r="P52" s="14" t="str">
        <x:v>10.1080/10705511.2014.919210</x:v>
      </x:c>
      <x:c r="Q52" s="14" t="str"/>
      <x:c r="R52" s="17"/>
      <x:c r="S52" s="14" t="str"/>
      <x:c r="T52" s="14" t="str"/>
      <x:c r="U52" s="19" t="n">
        <x:v>46303</x:v>
      </x:c>
    </x:row>
    <x:row r="53" ht="68" customHeight="1">
      <x:c r="A53" s="14" t="str">
        <x:v>D-D96F2720</x:v>
      </x:c>
      <x:c r="B53" s="14" t="str">
        <x:v>需人工获取</x:v>
      </x:c>
      <x:c r="C53" s="14" t="str">
        <x:v>The Generalized DINA Model Framework</x:v>
      </x:c>
      <x:c r="D53" s="14" t="str">
        <x:v>英文</x:v>
      </x:c>
      <x:c r="E53" s="15" t="str">
        <x:v>未处理</x:v>
      </x:c>
      <x:c r="F53" s="15" t="str"/>
      <x:c r="G53" s="16" t="str">
        <x:v>https://doi.org/10.1007/s11336-011-9207-7</x:v>
      </x:c>
      <x:c r="H53" s="14" t="str">
        <x:v>B10；B14；B21</x:v>
      </x:c>
      <x:c r="I53" s="14" t="str">
        <x:v>Jimmy de la Torre</x:v>
      </x:c>
      <x:c r="J53" s="18" t="n">
        <x:v>2011</x:v>
      </x:c>
      <x:c r="K53" s="14" t="str">
        <x:v>研究文献</x:v>
      </x:c>
      <x:c r="L53" s="14" t="str">
        <x:v>优先</x:v>
      </x:c>
      <x:c r="M53" s="14" t="str">
        <x:v>未取得全文；页面响应不能证明全文权限。</x:v>
      </x:c>
      <x:c r="N53" s="14" t="str">
        <x:v>从 DOI 或出版社页查看全文；也可使用学校图书馆或作者公开版本。</x:v>
      </x:c>
      <x:c r="O53" s="14" t="str">
        <x:v>G-DINA 框架的关键原文；与 2026 认知诊断综述对读。</x:v>
      </x:c>
      <x:c r="P53" s="14" t="str">
        <x:v>10.1007/s11336-011-9207-7</x:v>
      </x:c>
      <x:c r="Q53" s="14" t="str"/>
      <x:c r="R53" s="17"/>
      <x:c r="S53" s="14" t="str"/>
      <x:c r="T53" s="14" t="str"/>
      <x:c r="U53" s="19" t="n">
        <x:v>46303</x:v>
      </x:c>
    </x:row>
    <x:row r="54" ht="68" customHeight="1">
      <x:c r="A54" s="14" t="str">
        <x:v>D-5E502A5E</x:v>
      </x:c>
      <x:c r="B54" s="14" t="str">
        <x:v>需人工获取</x:v>
      </x:c>
      <x:c r="C54" s="14" t="str">
        <x:v>Estimation of latent ability using a response pattern of graded scores</x:v>
      </x:c>
      <x:c r="D54" s="14" t="str">
        <x:v>英文</x:v>
      </x:c>
      <x:c r="E54" s="15" t="str">
        <x:v>未处理</x:v>
      </x:c>
      <x:c r="F54" s="15" t="str"/>
      <x:c r="G54" s="16" t="str">
        <x:v>https://doi.org/10.1007/bf03372160</x:v>
      </x:c>
      <x:c r="H54" s="14" t="str">
        <x:v>B12</x:v>
      </x:c>
      <x:c r="I54" s="14" t="str">
        <x:v>Samejima, F.</x:v>
      </x:c>
      <x:c r="J54" s="18" t="n">
        <x:v>1969</x:v>
      </x:c>
      <x:c r="K54" s="14" t="str">
        <x:v>研究文献</x:v>
      </x:c>
      <x:c r="L54" s="14" t="str">
        <x:v>优先</x:v>
      </x:c>
      <x:c r="M54" s="14" t="str">
        <x:v>未取得全文；页面响应不能证明全文权限。</x:v>
      </x:c>
      <x:c r="N54" s="14" t="str">
        <x:v>从 DOI 或出版社页查看全文；也可使用学校图书馆或作者公开版本。</x:v>
      </x:c>
      <x:c r="O54" s="14" t="str">
        <x:v>等级反应模型的原始文献</x:v>
      </x:c>
      <x:c r="P54" s="14" t="str">
        <x:v>10.1007/bf03372160</x:v>
      </x:c>
      <x:c r="Q54" s="14" t="str"/>
      <x:c r="R54" s="17"/>
      <x:c r="S54" s="14" t="str"/>
      <x:c r="T54" s="14" t="str"/>
      <x:c r="U54" s="19" t="n">
        <x:v>46303</x:v>
      </x:c>
    </x:row>
    <x:row r="55" ht="68" customHeight="1">
      <x:c r="A55" s="14" t="str">
        <x:v>D-3783EAF2</x:v>
      </x:c>
      <x:c r="B55" s="14" t="str">
        <x:v>需人工获取</x:v>
      </x:c>
      <x:c r="C55" s="14" t="str">
        <x:v>Multidimensional Item Response Theory</x:v>
      </x:c>
      <x:c r="D55" s="14" t="str">
        <x:v>英文</x:v>
      </x:c>
      <x:c r="E55" s="15" t="str">
        <x:v>未处理</x:v>
      </x:c>
      <x:c r="F55" s="15" t="str"/>
      <x:c r="G55" s="16" t="str">
        <x:v>https://doi.org/10.1007/978-0-387-89976-3</x:v>
      </x:c>
      <x:c r="H55" s="14" t="str">
        <x:v>B12</x:v>
      </x:c>
      <x:c r="I55" s="14" t="str">
        <x:v>Reckase, M. D.</x:v>
      </x:c>
      <x:c r="J55" s="18" t="n">
        <x:v>2009</x:v>
      </x:c>
      <x:c r="K55" s="14" t="str">
        <x:v>研究文献</x:v>
      </x:c>
      <x:c r="L55" s="14" t="str">
        <x:v>优先</x:v>
      </x:c>
      <x:c r="M55" s="14" t="str">
        <x:v>未取得全文；页面响应不能证明全文权限。</x:v>
      </x:c>
      <x:c r="N55" s="14" t="str">
        <x:v>从 DOI 或出版社页查看全文；也可使用学校图书馆或作者公开版本。</x:v>
      </x:c>
      <x:c r="O55" s="14" t="str">
        <x:v>MIRT 的标准参考</x:v>
      </x:c>
      <x:c r="P55" s="14" t="str">
        <x:v>10.1007/978-0-387-89976-3</x:v>
      </x:c>
      <x:c r="Q55" s="14" t="str"/>
      <x:c r="R55" s="17"/>
      <x:c r="S55" s="14" t="str"/>
      <x:c r="T55" s="14" t="str"/>
      <x:c r="U55" s="19" t="n">
        <x:v>46303</x:v>
      </x:c>
    </x:row>
    <x:row r="56" ht="68" customHeight="1">
      <x:c r="A56" s="14" t="str">
        <x:v>D-197759AF</x:v>
      </x:c>
      <x:c r="B56" s="14" t="str">
        <x:v>需人工获取</x:v>
      </x:c>
      <x:c r="C56" s="14" t="str">
        <x:v>A general framework and an R package for the detection of dichotomous differential item functioning</x:v>
      </x:c>
      <x:c r="D56" s="14" t="str">
        <x:v>英文</x:v>
      </x:c>
      <x:c r="E56" s="15" t="str">
        <x:v>未处理</x:v>
      </x:c>
      <x:c r="F56" s="15" t="str"/>
      <x:c r="G56" s="16" t="str">
        <x:v>https://doi.org/10.3758/brm.42.3.847</x:v>
      </x:c>
      <x:c r="H56" s="14" t="str">
        <x:v>B13</x:v>
      </x:c>
      <x:c r="I56" s="14" t="str">
        <x:v>Magis, D., Béland, S., Tuerlinckx, F., &amp; De Boeck, P.</x:v>
      </x:c>
      <x:c r="J56" s="18" t="n">
        <x:v>2010</x:v>
      </x:c>
      <x:c r="K56" s="14" t="str">
        <x:v>研究文献</x:v>
      </x:c>
      <x:c r="L56" s="14" t="str">
        <x:v>优先</x:v>
      </x:c>
      <x:c r="M56" s="14" t="str">
        <x:v>未取得全文；页面响应不能证明全文权限。</x:v>
      </x:c>
      <x:c r="N56" s="14" t="str">
        <x:v>从 DOI 或出版社页查看全文；也可使用学校图书馆或作者公开版本。</x:v>
      </x:c>
      <x:c r="O56" s="14" t="str">
        <x:v>difR 包的官方文档，各种 DIF 方法的统一框架</x:v>
      </x:c>
      <x:c r="P56" s="14" t="str">
        <x:v>10.3758/brm.42.3.847</x:v>
      </x:c>
      <x:c r="Q56" s="14" t="str"/>
      <x:c r="R56" s="17"/>
      <x:c r="S56" s="14" t="str"/>
      <x:c r="T56" s="14" t="str"/>
      <x:c r="U56" s="19" t="n">
        <x:v>46303</x:v>
      </x:c>
    </x:row>
    <x:row r="57" ht="68" customHeight="1">
      <x:c r="A57" s="14" t="str">
        <x:v>D-91F43838</x:v>
      </x:c>
      <x:c r="B57" s="14" t="str">
        <x:v>需人工获取</x:v>
      </x:c>
      <x:c r="C57" s="14" t="str">
        <x:v>Differential item functioning and the Mantel-Haenszel procedure</x:v>
      </x:c>
      <x:c r="D57" s="14" t="str">
        <x:v>英文</x:v>
      </x:c>
      <x:c r="E57" s="15" t="str">
        <x:v>未处理</x:v>
      </x:c>
      <x:c r="F57" s="15" t="str"/>
      <x:c r="G57" s="16" t="str">
        <x:v>https://doi.org/10.1002/j.2330-8516.1986.tb00186.x</x:v>
      </x:c>
      <x:c r="H57" s="14" t="str">
        <x:v>B13</x:v>
      </x:c>
      <x:c r="I57" s="14" t="str">
        <x:v>Holland, P. W., &amp; Thayer, D. T.</x:v>
      </x:c>
      <x:c r="J57" s="18" t="n">
        <x:v>1988</x:v>
      </x:c>
      <x:c r="K57" s="14" t="str">
        <x:v>研究文献</x:v>
      </x:c>
      <x:c r="L57" s="14" t="str">
        <x:v>优先</x:v>
      </x:c>
      <x:c r="M57" s="14" t="str">
        <x:v>未取得全文；页面响应不能证明全文权限。</x:v>
      </x:c>
      <x:c r="N57" s="14" t="str">
        <x:v>从 DOI 或出版社页查看全文；也可使用学校图书馆或作者公开版本。</x:v>
      </x:c>
      <x:c r="O57" s="14" t="str">
        <x:v>MH 法的来源，ETS 分级标准出自这一传统</x:v>
      </x:c>
      <x:c r="P57" s="14" t="str">
        <x:v>10.1002/j.2330-8516.1986.tb00186.x</x:v>
      </x:c>
      <x:c r="Q57" s="14" t="str"/>
      <x:c r="R57" s="17"/>
      <x:c r="S57" s="14" t="str"/>
      <x:c r="T57" s="14" t="str"/>
      <x:c r="U57" s="19" t="n">
        <x:v>46303</x:v>
      </x:c>
    </x:row>
    <x:row r="58" ht="68" customHeight="1">
      <x:c r="A58" s="14" t="str">
        <x:v>D-FE953CE6</x:v>
      </x:c>
      <x:c r="B58" s="14" t="str">
        <x:v>需人工获取</x:v>
      </x:c>
      <x:c r="C58" s="14" t="str">
        <x:v>Deciding on the number of classes in latent class analysis and growth mixture modeling: A Monte Carlo simulation study</x:v>
      </x:c>
      <x:c r="D58" s="14" t="str">
        <x:v>英文</x:v>
      </x:c>
      <x:c r="E58" s="15" t="str">
        <x:v>未处理</x:v>
      </x:c>
      <x:c r="F58" s="15" t="str"/>
      <x:c r="G58" s="16" t="str">
        <x:v>https://doi.org/10.1080/10705510701575396</x:v>
      </x:c>
      <x:c r="H58" s="14" t="str">
        <x:v>B14</x:v>
      </x:c>
      <x:c r="I58" s="14" t="str">
        <x:v>Nylund, K. L., Asparouhov, T., &amp; Muthén, B. O.</x:v>
      </x:c>
      <x:c r="J58" s="18" t="n">
        <x:v>2007</x:v>
      </x:c>
      <x:c r="K58" s="14" t="str">
        <x:v>研究文献</x:v>
      </x:c>
      <x:c r="L58" s="14" t="str">
        <x:v>优先</x:v>
      </x:c>
      <x:c r="M58" s="14" t="str">
        <x:v>未取得全文；页面响应不能证明全文权限。</x:v>
      </x:c>
      <x:c r="N58" s="14" t="str">
        <x:v>从 DOI 或出版社页查看全文；也可使用学校图书馆或作者公开版本。</x:v>
      </x:c>
      <x:c r="O58" s="14" t="str">
        <x:v>**类别数怎么定**的权威模拟研究：BLRT 与 BIC 表现最好</x:v>
      </x:c>
      <x:c r="P58" s="14" t="str">
        <x:v>10.1080/10705510701575396</x:v>
      </x:c>
      <x:c r="Q58" s="14" t="str"/>
      <x:c r="R58" s="17"/>
      <x:c r="S58" s="14" t="str"/>
      <x:c r="T58" s="14" t="str"/>
      <x:c r="U58" s="19" t="n">
        <x:v>46303</x:v>
      </x:c>
    </x:row>
    <x:row r="59" ht="68" customHeight="1">
      <x:c r="A59" s="14" t="str">
        <x:v>D-0595A198</x:v>
      </x:c>
      <x:c r="B59" s="14" t="str">
        <x:v>需人工获取</x:v>
      </x:c>
      <x:c r="C59" s="14" t="str">
        <x:v>Latent profile analysis: A review and 'how to' guide of its application within vocational behavior research</x:v>
      </x:c>
      <x:c r="D59" s="14" t="str">
        <x:v>英文</x:v>
      </x:c>
      <x:c r="E59" s="15" t="str">
        <x:v>未处理</x:v>
      </x:c>
      <x:c r="F59" s="15" t="str"/>
      <x:c r="G59" s="16" t="str">
        <x:v>https://doi.org/10.1016/j.jvb.2020.103445</x:v>
      </x:c>
      <x:c r="H59" s="14" t="str">
        <x:v>B14</x:v>
      </x:c>
      <x:c r="I59" s="14" t="str">
        <x:v>Spurk, D., Hirschi, A., Wang, M., Valero, D., &amp; Kauffeld, S.</x:v>
      </x:c>
      <x:c r="J59" s="18" t="n">
        <x:v>2020</x:v>
      </x:c>
      <x:c r="K59" s="14" t="str">
        <x:v>研究文献</x:v>
      </x:c>
      <x:c r="L59" s="14" t="str">
        <x:v>优先</x:v>
      </x:c>
      <x:c r="M59" s="14" t="str">
        <x:v>未取得全文；页面响应不能证明全文权限。</x:v>
      </x:c>
      <x:c r="N59" s="14" t="str">
        <x:v>从 DOI 或出版社页查看全文；也可使用学校图书馆或作者公开版本。</x:v>
      </x:c>
      <x:c r="O59" s="14" t="str">
        <x:v>操作指南 + 报告规范清单</x:v>
      </x:c>
      <x:c r="P59" s="14" t="str">
        <x:v>10.1016/j.jvb.2020.103445</x:v>
      </x:c>
      <x:c r="Q59" s="14" t="str"/>
      <x:c r="R59" s="17"/>
      <x:c r="S59" s="14" t="str"/>
      <x:c r="T59" s="14" t="str"/>
      <x:c r="U59" s="19" t="n">
        <x:v>46303</x:v>
      </x:c>
    </x:row>
    <x:row r="60" ht="68" customHeight="1">
      <x:c r="A60" s="14" t="str">
        <x:v>D-372FBE3C</x:v>
      </x:c>
      <x:c r="B60" s="14" t="str">
        <x:v>需人工获取</x:v>
      </x:c>
      <x:c r="C60" s="14" t="str">
        <x:v>Comorbidity: A network perspective</x:v>
      </x:c>
      <x:c r="D60" s="14" t="str">
        <x:v>英文</x:v>
      </x:c>
      <x:c r="E60" s="15" t="str">
        <x:v>未处理</x:v>
      </x:c>
      <x:c r="F60" s="15" t="str"/>
      <x:c r="G60" s="16" t="str">
        <x:v>https://doi.org/10.1017/s0140525x09991567</x:v>
      </x:c>
      <x:c r="H60" s="14" t="str">
        <x:v>B15</x:v>
      </x:c>
      <x:c r="I60" s="14" t="str">
        <x:v>Cramer, A. O. J., Waldorp, L. J., van der Maas, H. L. J., &amp; Borsboom, D.</x:v>
      </x:c>
      <x:c r="J60" s="18" t="n">
        <x:v>2010</x:v>
      </x:c>
      <x:c r="K60" s="14" t="str">
        <x:v>研究文献</x:v>
      </x:c>
      <x:c r="L60" s="14" t="str">
        <x:v>优先</x:v>
      </x:c>
      <x:c r="M60" s="14" t="str">
        <x:v>未取得全文；页面响应不能证明全文权限。</x:v>
      </x:c>
      <x:c r="N60" s="14" t="str">
        <x:v>从 DOI 或出版社页查看全文；也可使用学校图书馆或作者公开版本。</x:v>
      </x:c>
      <x:c r="O60" s="14" t="str">
        <x:v>网络视角的宣言：症状之间直接互相影响，而非被同一潜因子驱动</x:v>
      </x:c>
      <x:c r="P60" s="14" t="str">
        <x:v>10.1017/s0140525x09991567</x:v>
      </x:c>
      <x:c r="Q60" s="14" t="str"/>
      <x:c r="R60" s="17"/>
      <x:c r="S60" s="14" t="str"/>
      <x:c r="T60" s="14" t="str"/>
      <x:c r="U60" s="19" t="n">
        <x:v>46303</x:v>
      </x:c>
    </x:row>
    <x:row r="61" ht="68" customHeight="1">
      <x:c r="A61" s="14" t="str">
        <x:v>D-2147D4E4</x:v>
      </x:c>
      <x:c r="B61" s="14" t="str">
        <x:v>需人工获取</x:v>
      </x:c>
      <x:c r="C61" s="14" t="str">
        <x:v>Estimating psychological networks and their accuracy: A tutorial paper</x:v>
      </x:c>
      <x:c r="D61" s="14" t="str">
        <x:v>英文</x:v>
      </x:c>
      <x:c r="E61" s="15" t="str">
        <x:v>未处理</x:v>
      </x:c>
      <x:c r="F61" s="15" t="str"/>
      <x:c r="G61" s="16" t="str">
        <x:v>https://doi.org/10.3758/s13428-017-0862-1</x:v>
      </x:c>
      <x:c r="H61" s="14" t="str">
        <x:v>B15</x:v>
      </x:c>
      <x:c r="I61" s="14" t="str">
        <x:v>Epskamp, S., Borsboom, D., &amp; Fried, E. I.</x:v>
      </x:c>
      <x:c r="J61" s="18" t="n">
        <x:v>2018</x:v>
      </x:c>
      <x:c r="K61" s="14" t="str">
        <x:v>研究文献</x:v>
      </x:c>
      <x:c r="L61" s="14" t="str">
        <x:v>优先</x:v>
      </x:c>
      <x:c r="M61" s="14" t="str">
        <x:v>未取得全文；页面响应不能证明全文权限。</x:v>
      </x:c>
      <x:c r="N61" s="14" t="str">
        <x:v>从 DOI 或出版社页查看全文；也可使用学校图书馆或作者公开版本。</x:v>
      </x:c>
      <x:c r="O61" s="14" t="str">
        <x:v>**估计与稳定性分析的标准流程**，bootnet 的官方教程</x:v>
      </x:c>
      <x:c r="P61" s="14" t="str">
        <x:v>10.3758/s13428-017-0862-1</x:v>
      </x:c>
      <x:c r="Q61" s="14" t="str"/>
      <x:c r="R61" s="17"/>
      <x:c r="S61" s="14" t="str"/>
      <x:c r="T61" s="14" t="str"/>
      <x:c r="U61" s="19" t="n">
        <x:v>46303</x:v>
      </x:c>
    </x:row>
    <x:row r="62" ht="68" customHeight="1">
      <x:c r="A62" s="14" t="str">
        <x:v>D-D401EDBE</x:v>
      </x:c>
      <x:c r="B62" s="14" t="str">
        <x:v>需人工获取</x:v>
      </x:c>
      <x:c r="C62" s="14" t="str">
        <x:v>Measuring individual differences in implicit cognition: The implicit association test</x:v>
      </x:c>
      <x:c r="D62" s="14" t="str">
        <x:v>英文</x:v>
      </x:c>
      <x:c r="E62" s="15" t="str">
        <x:v>未处理</x:v>
      </x:c>
      <x:c r="F62" s="15" t="str"/>
      <x:c r="G62" s="16" t="str">
        <x:v>https://doi.org/10.1037/0022-3514.74.6.1464</x:v>
      </x:c>
      <x:c r="H62" s="14" t="str">
        <x:v>B16</x:v>
      </x:c>
      <x:c r="I62" s="14" t="str">
        <x:v>Greenwald, A. G., McGhee, D. E., &amp; Schwartz, J. L. K.</x:v>
      </x:c>
      <x:c r="J62" s="18" t="n">
        <x:v>1998</x:v>
      </x:c>
      <x:c r="K62" s="14" t="str">
        <x:v>研究文献</x:v>
      </x:c>
      <x:c r="L62" s="14" t="str">
        <x:v>优先</x:v>
      </x:c>
      <x:c r="M62" s="14" t="str">
        <x:v>未取得全文；页面响应不能证明全文权限。</x:v>
      </x:c>
      <x:c r="N62" s="14" t="str">
        <x:v>从 DOI 或出版社页查看全文；也可使用学校图书馆或作者公开版本。</x:v>
      </x:c>
      <x:c r="O62" s="14" t="str">
        <x:v>IAT 的原始文献</x:v>
      </x:c>
      <x:c r="P62" s="14" t="str">
        <x:v>10.1037/0022-3514.74.6.1464</x:v>
      </x:c>
      <x:c r="Q62" s="14" t="str"/>
      <x:c r="R62" s="17"/>
      <x:c r="S62" s="14" t="str"/>
      <x:c r="T62" s="14" t="str"/>
      <x:c r="U62" s="19" t="n">
        <x:v>46303</x:v>
      </x:c>
    </x:row>
    <x:row r="63" ht="68" customHeight="1">
      <x:c r="A63" s="14" t="str">
        <x:v>D-C9A72D84</x:v>
      </x:c>
      <x:c r="B63" s="14" t="str">
        <x:v>需人工获取</x:v>
      </x:c>
      <x:c r="C63" s="14" t="str">
        <x:v>Understanding and using the implicit association test: I. An improved scoring algorithm</x:v>
      </x:c>
      <x:c r="D63" s="14" t="str">
        <x:v>英文</x:v>
      </x:c>
      <x:c r="E63" s="15" t="str">
        <x:v>未处理</x:v>
      </x:c>
      <x:c r="F63" s="15" t="str"/>
      <x:c r="G63" s="16" t="str">
        <x:v>https://doi.org/10.31234/osf.io/acgxd</x:v>
      </x:c>
      <x:c r="H63" s="14" t="str">
        <x:v>B16</x:v>
      </x:c>
      <x:c r="I63" s="14" t="str">
        <x:v>Greenwald, A. G., Nosek, B. A., &amp; Banaji, M. R.</x:v>
      </x:c>
      <x:c r="J63" s="18" t="n">
        <x:v>2003</x:v>
      </x:c>
      <x:c r="K63" s="14" t="str">
        <x:v>研究文献</x:v>
      </x:c>
      <x:c r="L63" s="14" t="str">
        <x:v>优先</x:v>
      </x:c>
      <x:c r="M63" s="14" t="str">
        <x:v>未取得全文；页面响应不能证明全文权限。</x:v>
      </x:c>
      <x:c r="N63" s="14" t="str">
        <x:v>从 DOI 或出版社页查看全文；也可使用学校图书馆或作者公开版本。</x:v>
      </x:c>
      <x:c r="O63" s="14" t="str">
        <x:v>**D 分数算法的来源**，包含清洗规则 链接为作者公开稿或工作论文，可能与正式发表版在年份、题名或内容上不同；引用时请核对所用版本。</x:v>
      </x:c>
      <x:c r="P63" s="14" t="str">
        <x:v>10.31234/osf.io/acgxd</x:v>
      </x:c>
      <x:c r="Q63" s="14" t="str"/>
      <x:c r="R63" s="17"/>
      <x:c r="S63" s="14" t="str"/>
      <x:c r="T63" s="14" t="str"/>
      <x:c r="U63" s="19" t="n">
        <x:v>46303</x:v>
      </x:c>
    </x:row>
    <x:row r="64" ht="68" customHeight="1">
      <x:c r="A64" s="14" t="str">
        <x:v>D-A0A82A82</x:v>
      </x:c>
      <x:c r="B64" s="14" t="str">
        <x:v>需人工获取</x:v>
      </x:c>
      <x:c r="C64" s="14" t="str">
        <x:v>A theory of memory retrieval</x:v>
      </x:c>
      <x:c r="D64" s="14" t="str">
        <x:v>英文</x:v>
      </x:c>
      <x:c r="E64" s="15" t="str">
        <x:v>未处理</x:v>
      </x:c>
      <x:c r="F64" s="15" t="str"/>
      <x:c r="G64" s="16" t="str">
        <x:v>https://doi.org/10.1037/0033-295x.85.2.59</x:v>
      </x:c>
      <x:c r="H64" s="14" t="str">
        <x:v>B17</x:v>
      </x:c>
      <x:c r="I64" s="14" t="str">
        <x:v>Ratcliff, R.</x:v>
      </x:c>
      <x:c r="J64" s="18" t="n">
        <x:v>1978</x:v>
      </x:c>
      <x:c r="K64" s="14" t="str">
        <x:v>研究文献</x:v>
      </x:c>
      <x:c r="L64" s="14" t="str">
        <x:v>优先</x:v>
      </x:c>
      <x:c r="M64" s="14" t="str">
        <x:v>未取得全文；页面响应不能证明全文权限。</x:v>
      </x:c>
      <x:c r="N64" s="14" t="str">
        <x:v>从 DOI 或出版社页查看全文；也可使用学校图书馆或作者公开版本。</x:v>
      </x:c>
      <x:c r="O64" s="14" t="str">
        <x:v>扩散模型的原始文献</x:v>
      </x:c>
      <x:c r="P64" s="14" t="str">
        <x:v>10.1037/0033-295x.85.2.59</x:v>
      </x:c>
      <x:c r="Q64" s="14" t="str"/>
      <x:c r="R64" s="17"/>
      <x:c r="S64" s="14" t="str"/>
      <x:c r="T64" s="14" t="str"/>
      <x:c r="U64" s="19" t="n">
        <x:v>46303</x:v>
      </x:c>
    </x:row>
    <x:row r="65" ht="68" customHeight="1">
      <x:c r="A65" s="14" t="str">
        <x:v>D-E9CAFFA8</x:v>
      </x:c>
      <x:c r="B65" s="14" t="str">
        <x:v>需人工获取</x:v>
      </x:c>
      <x:c r="C65" s="14" t="str">
        <x:v>The diffusion decision model: Theory and data for two-choice decision tasks</x:v>
      </x:c>
      <x:c r="D65" s="14" t="str">
        <x:v>英文</x:v>
      </x:c>
      <x:c r="E65" s="15" t="str">
        <x:v>未处理</x:v>
      </x:c>
      <x:c r="F65" s="15" t="str"/>
      <x:c r="G65" s="16" t="str">
        <x:v>https://doi.org/10.1162/neco.2008.12-06-420</x:v>
      </x:c>
      <x:c r="H65" s="14" t="str">
        <x:v>B17</x:v>
      </x:c>
      <x:c r="I65" s="14" t="str">
        <x:v>Ratcliff, R., &amp; McKoon, G.</x:v>
      </x:c>
      <x:c r="J65" s="18" t="n">
        <x:v>2008</x:v>
      </x:c>
      <x:c r="K65" s="14" t="str">
        <x:v>研究文献</x:v>
      </x:c>
      <x:c r="L65" s="14" t="str">
        <x:v>优先</x:v>
      </x:c>
      <x:c r="M65" s="14" t="str">
        <x:v>未取得全文；页面响应不能证明全文权限。</x:v>
      </x:c>
      <x:c r="N65" s="14" t="str">
        <x:v>从 DOI 或出版社页查看全文；也可使用学校图书馆或作者公开版本。</x:v>
      </x:c>
      <x:c r="O65" s="14" t="str">
        <x:v>现代 DDM 的标准综述</x:v>
      </x:c>
      <x:c r="P65" s="14" t="str">
        <x:v>10.1162/neco.2008.12-06-420</x:v>
      </x:c>
      <x:c r="Q65" s="14" t="str"/>
      <x:c r="R65" s="17"/>
      <x:c r="S65" s="14" t="str"/>
      <x:c r="T65" s="14" t="str"/>
      <x:c r="U65" s="19" t="n">
        <x:v>46303</x:v>
      </x:c>
    </x:row>
    <x:row r="66" ht="68" customHeight="1">
      <x:c r="A66" s="14" t="str">
        <x:v>D-F7B9F88D</x:v>
      </x:c>
      <x:c r="B66" s="14" t="str">
        <x:v>需人工获取</x:v>
      </x:c>
      <x:c r="C66" s="14" t="str">
        <x:v>Applications of generalizability theory and their relations to classical test theory and structural equation modeling</x:v>
      </x:c>
      <x:c r="D66" s="14" t="str">
        <x:v>英文</x:v>
      </x:c>
      <x:c r="E66" s="15" t="str">
        <x:v>未处理</x:v>
      </x:c>
      <x:c r="F66" s="15" t="str"/>
      <x:c r="G66" s="16" t="str">
        <x:v>https://doi.org/10.1037/met0000107</x:v>
      </x:c>
      <x:c r="H66" s="14" t="str">
        <x:v>B18</x:v>
      </x:c>
      <x:c r="I66" s="14" t="str">
        <x:v>Vispoel, W. P., Morris, C. A., &amp; Kilinc, M.</x:v>
      </x:c>
      <x:c r="J66" s="18" t="n">
        <x:v>2018</x:v>
      </x:c>
      <x:c r="K66" s="14" t="str">
        <x:v>研究文献</x:v>
      </x:c>
      <x:c r="L66" s="14" t="str">
        <x:v>优先</x:v>
      </x:c>
      <x:c r="M66" s="14" t="str">
        <x:v>未取得全文；页面响应不能证明全文权限。</x:v>
      </x:c>
      <x:c r="N66" s="14" t="str">
        <x:v>从 DOI 或出版社页查看全文；也可使用学校图书馆或作者公开版本。</x:v>
      </x:c>
      <x:c r="O66" s="14" t="str">
        <x:v>**G 理论、CTT、SEM 三者的关系**，以及在心理学中该怎么用</x:v>
      </x:c>
      <x:c r="P66" s="14" t="str">
        <x:v>10.1037/met0000107</x:v>
      </x:c>
      <x:c r="Q66" s="14" t="str"/>
      <x:c r="R66" s="17"/>
      <x:c r="S66" s="14" t="str"/>
      <x:c r="T66" s="14" t="str"/>
      <x:c r="U66" s="19" t="n">
        <x:v>46303</x:v>
      </x:c>
    </x:row>
    <x:row r="67" ht="68" customHeight="1">
      <x:c r="A67" s="14" t="str">
        <x:v>D-FDE3BCAD</x:v>
      </x:c>
      <x:c r="B67" s="14" t="str">
        <x:v>需人工获取</x:v>
      </x:c>
      <x:c r="C67" s="14" t="str">
        <x:v>Generalizability Theory</x:v>
      </x:c>
      <x:c r="D67" s="14" t="str">
        <x:v>英文</x:v>
      </x:c>
      <x:c r="E67" s="15" t="str">
        <x:v>未处理</x:v>
      </x:c>
      <x:c r="F67" s="15" t="str"/>
      <x:c r="G67" s="16" t="str">
        <x:v>https://doi.org/10.1007/978-1-4757-3456-0</x:v>
      </x:c>
      <x:c r="H67" s="14" t="str">
        <x:v>B18</x:v>
      </x:c>
      <x:c r="I67" s="14" t="str">
        <x:v>Brennan, R. L.</x:v>
      </x:c>
      <x:c r="J67" s="18" t="n">
        <x:v>2001</x:v>
      </x:c>
      <x:c r="K67" s="14" t="str">
        <x:v>研究文献</x:v>
      </x:c>
      <x:c r="L67" s="14" t="str">
        <x:v>优先</x:v>
      </x:c>
      <x:c r="M67" s="14" t="str">
        <x:v>未取得全文；页面响应不能证明全文权限。</x:v>
      </x:c>
      <x:c r="N67" s="14" t="str">
        <x:v>从 DOI 或出版社页查看全文；也可使用学校图书馆或作者公开版本。</x:v>
      </x:c>
      <x:c r="O67" s="14" t="str">
        <x:v>这个领域的标准教材</x:v>
      </x:c>
      <x:c r="P67" s="14" t="str">
        <x:v>10.1007/978-1-4757-3456-0</x:v>
      </x:c>
      <x:c r="Q67" s="14" t="str"/>
      <x:c r="R67" s="17"/>
      <x:c r="S67" s="14" t="str"/>
      <x:c r="T67" s="14" t="str"/>
      <x:c r="U67" s="19" t="n">
        <x:v>46303</x:v>
      </x:c>
    </x:row>
    <x:row r="68" ht="68" customHeight="1">
      <x:c r="A68" s="14" t="str">
        <x:v>D-32C338F1</x:v>
      </x:c>
      <x:c r="B68" s="14" t="str">
        <x:v>需人工获取</x:v>
      </x:c>
      <x:c r="C68" s="14" t="str">
        <x:v>The Dependability of Behavioral Measurements</x:v>
      </x:c>
      <x:c r="D68" s="14" t="str">
        <x:v>英文</x:v>
      </x:c>
      <x:c r="E68" s="15" t="str">
        <x:v>未处理</x:v>
      </x:c>
      <x:c r="F68" s="15" t="str"/>
      <x:c r="G68" s="16" t="str">
        <x:v>https://briscoe.uthscsa.edu/cgi-bin/koha/opac-detail.pl?biblionumber=21055</x:v>
      </x:c>
      <x:c r="H68" s="14" t="str">
        <x:v>B18</x:v>
      </x:c>
      <x:c r="I68" s="14" t="str">
        <x:v>Cronbach, L. J., Gleser, G. C., Nanda, H., &amp; Rajaratnam, N.</x:v>
      </x:c>
      <x:c r="J68" s="18" t="n">
        <x:v>1972</x:v>
      </x:c>
      <x:c r="K68" s="14" t="str">
        <x:v>研究文献</x:v>
      </x:c>
      <x:c r="L68" s="14" t="str">
        <x:v>优先</x:v>
      </x:c>
      <x:c r="M68" s="14" t="str">
        <x:v>未取得全文；页面响应不能证明全文权限。</x:v>
      </x:c>
      <x:c r="N68" s="14" t="str">
        <x:v>从 DOI 或出版社页查看全文；也可使用学校图书馆或作者公开版本。</x:v>
      </x:c>
      <x:c r="O68" s="14" t="str">
        <x:v>概化理论的奠基之作</x:v>
      </x:c>
      <x:c r="P68" s="14" t="str"/>
      <x:c r="Q68" s="14" t="str"/>
      <x:c r="R68" s="17"/>
      <x:c r="S68" s="14" t="str"/>
      <x:c r="T68" s="14" t="str"/>
      <x:c r="U68" s="19" t="n">
        <x:v>46303</x:v>
      </x:c>
    </x:row>
    <x:row r="69" ht="68" customHeight="1">
      <x:c r="A69" s="14" t="str">
        <x:v>D-D9B0B071</x:v>
      </x:c>
      <x:c r="B69" s="14" t="str">
        <x:v>需人工获取</x:v>
      </x:c>
      <x:c r="C69" s="14" t="str">
        <x:v>A two-stage approach to account for measurement error when using empirical Bayes estimates of random slopes.</x:v>
      </x:c>
      <x:c r="D69" s="14" t="str">
        <x:v>英文</x:v>
      </x:c>
      <x:c r="E69" s="15" t="str">
        <x:v>未处理</x:v>
      </x:c>
      <x:c r="F69" s="15" t="str"/>
      <x:c r="G69" s="16" t="str">
        <x:v>https://doi.org/10.1037/met0000838</x:v>
      </x:c>
      <x:c r="H69" s="14" t="str">
        <x:v>B19；B20；E11；F07；F08；H10；H11；N08；N09</x:v>
      </x:c>
      <x:c r="I69" s="14" t="str">
        <x:v>Mark H. C. Lai; Siwei Liu</x:v>
      </x:c>
      <x:c r="J69" s="18" t="n">
        <x:v>2026</x:v>
      </x:c>
      <x:c r="K69" s="14" t="str">
        <x:v>研究文献</x:v>
      </x:c>
      <x:c r="L69" s="14" t="str">
        <x:v>优先</x:v>
      </x:c>
      <x:c r="M69" s="14" t="str">
        <x:v>未取得全文；页面响应不能证明全文权限。</x:v>
      </x:c>
      <x:c r="N69" s="14" t="str">
        <x:v>从 DOI 或出版社页查看全文；也可使用学校图书馆或作者公开版本。</x:v>
      </x:c>
      <x:c r="O69" s="14" t="str">
        <x:v>使用经验贝叶斯随机斜率时校正测量误差的两阶段路径分析。</x:v>
      </x:c>
      <x:c r="P69" s="14" t="str">
        <x:v>10.1037/met0000838</x:v>
      </x:c>
      <x:c r="Q69" s="14" t="str"/>
      <x:c r="R69" s="17"/>
      <x:c r="S69" s="14" t="str"/>
      <x:c r="T69" s="14" t="str"/>
      <x:c r="U69" s="19" t="n">
        <x:v>46303</x:v>
      </x:c>
    </x:row>
    <x:row r="70" ht="68" customHeight="1">
      <x:c r="A70" s="14" t="str">
        <x:v>D-29029C61</x:v>
      </x:c>
      <x:c r="B70" s="14" t="str">
        <x:v>需人工获取</x:v>
      </x:c>
      <x:c r="C70" s="14" t="str">
        <x:v>Evaluating local structural-after-measurement and traditional approaches for the estimation of complex nonlinear effects among latent variables.</x:v>
      </x:c>
      <x:c r="D70" s="14" t="str">
        <x:v>英文</x:v>
      </x:c>
      <x:c r="E70" s="15" t="str">
        <x:v>未处理</x:v>
      </x:c>
      <x:c r="F70" s="15" t="str"/>
      <x:c r="G70" s="16" t="str">
        <x:v>https://doi.org/10.1037/met0000851</x:v>
      </x:c>
      <x:c r="H70" s="14" t="str">
        <x:v>B19；B20；E11；F07；N08；N09</x:v>
      </x:c>
      <x:c r="I70" s="14" t="str">
        <x:v>Felipe Fontana Vieira; Kjell Solem Slupphaug; Yves Rosseel</x:v>
      </x:c>
      <x:c r="J70" s="18" t="n">
        <x:v>2026</x:v>
      </x:c>
      <x:c r="K70" s="14" t="str">
        <x:v>研究文献</x:v>
      </x:c>
      <x:c r="L70" s="14" t="str">
        <x:v>优先</x:v>
      </x:c>
      <x:c r="M70" s="14" t="str">
        <x:v>未取得全文；页面响应不能证明全文权限。</x:v>
      </x:c>
      <x:c r="N70" s="14" t="str">
        <x:v>从 DOI 或出版社页查看全文；也可使用学校图书馆或作者公开版本。</x:v>
      </x:c>
      <x:c r="O70" s="14" t="str">
        <x:v>比较 local SAM 与传统方法估计潜变量非线性效应的表现。</x:v>
      </x:c>
      <x:c r="P70" s="14" t="str">
        <x:v>10.1037/met0000851</x:v>
      </x:c>
      <x:c r="Q70" s="14" t="str"/>
      <x:c r="R70" s="17"/>
      <x:c r="S70" s="14" t="str"/>
      <x:c r="T70" s="14" t="str"/>
      <x:c r="U70" s="19" t="n">
        <x:v>46303</x:v>
      </x:c>
    </x:row>
    <x:row r="71" ht="68" customHeight="1">
      <x:c r="A71" s="14" t="str">
        <x:v>D-DAAF6479</x:v>
      </x:c>
      <x:c r="B71" s="14" t="str">
        <x:v>需人工获取</x:v>
      </x:c>
      <x:c r="C71" s="14" t="str">
        <x:v>Improving the Evaluation of Construct Change Over Time: Advantages of Longitudinal Moderated Nonlinear Factor Analysis Over Conventional First-Order Growth Models</x:v>
      </x:c>
      <x:c r="D71" s="14" t="str">
        <x:v>英文</x:v>
      </x:c>
      <x:c r="E71" s="15" t="str">
        <x:v>未处理</x:v>
      </x:c>
      <x:c r="F71" s="15" t="str"/>
      <x:c r="G71" s="16" t="str">
        <x:v>https://doi.org/10.1080/00273171.2026.2640576</x:v>
      </x:c>
      <x:c r="H71" s="14" t="str">
        <x:v>B19；B20；E11；F07；N08；N09</x:v>
      </x:c>
      <x:c r="I71" s="14" t="str">
        <x:v>Siyuan Marco Chen; Daniel J. Bauer</x:v>
      </x:c>
      <x:c r="J71" s="18" t="n">
        <x:v>2026</x:v>
      </x:c>
      <x:c r="K71" s="14" t="str">
        <x:v>研究文献</x:v>
      </x:c>
      <x:c r="L71" s="14" t="str">
        <x:v>优先</x:v>
      </x:c>
      <x:c r="M71" s="14" t="str">
        <x:v>未取得全文；页面响应不能证明全文权限。</x:v>
      </x:c>
      <x:c r="N71" s="14" t="str">
        <x:v>从 DOI 或出版社页查看全文；也可使用学校图书馆或作者公开版本。</x:v>
      </x:c>
      <x:c r="O71" s="14" t="str">
        <x:v>纵向 MNLFA 与总分增长模型的比较；区分构念变化与项目功能变化。</x:v>
      </x:c>
      <x:c r="P71" s="14" t="str">
        <x:v>10.1080/00273171.2026.2640576</x:v>
      </x:c>
      <x:c r="Q71" s="14" t="str"/>
      <x:c r="R71" s="17"/>
      <x:c r="S71" s="14" t="str"/>
      <x:c r="T71" s="14" t="str"/>
      <x:c r="U71" s="19" t="n">
        <x:v>46303</x:v>
      </x:c>
    </x:row>
    <x:row r="72" ht="68" customHeight="1">
      <x:c r="A72" s="14" t="str">
        <x:v>D-FCE22A16</x:v>
      </x:c>
      <x:c r="B72" s="14" t="str">
        <x:v>需人工获取</x:v>
      </x:c>
      <x:c r="C72" s="14" t="str">
        <x:v>Transitive differential item functioning clustering: A graph-theoretic approach to identifying many-group partial measurement invariance.</x:v>
      </x:c>
      <x:c r="D72" s="14" t="str">
        <x:v>英文</x:v>
      </x:c>
      <x:c r="E72" s="15" t="str">
        <x:v>未处理</x:v>
      </x:c>
      <x:c r="F72" s="15" t="str"/>
      <x:c r="G72" s="16" t="str">
        <x:v>https://doi.org/10.1037/met0000873</x:v>
      </x:c>
      <x:c r="H72" s="14" t="str">
        <x:v>B19；B20；E11；F07；N08；N09</x:v>
      </x:c>
      <x:c r="I72" s="14" t="str">
        <x:v>Yale Quan; Chun Wang</x:v>
      </x:c>
      <x:c r="J72" s="18" t="n">
        <x:v>2026</x:v>
      </x:c>
      <x:c r="K72" s="14" t="str">
        <x:v>研究文献</x:v>
      </x:c>
      <x:c r="L72" s="14" t="str">
        <x:v>优先</x:v>
      </x:c>
      <x:c r="M72" s="14" t="str">
        <x:v>未取得全文；页面响应不能证明全文权限。</x:v>
      </x:c>
      <x:c r="N72" s="14" t="str">
        <x:v>从 DOI 或出版社页查看全文；也可使用学校图书馆或作者公开版本。</x:v>
      </x:c>
      <x:c r="O72" s="14" t="str">
        <x:v>以图上的传递性约束识别多组部分测量不变性；2026 新提案。</x:v>
      </x:c>
      <x:c r="P72" s="14" t="str">
        <x:v>10.1037/met0000873</x:v>
      </x:c>
      <x:c r="Q72" s="14" t="str"/>
      <x:c r="R72" s="17"/>
      <x:c r="S72" s="14" t="str"/>
      <x:c r="T72" s="14" t="str"/>
      <x:c r="U72" s="19" t="n">
        <x:v>46303</x:v>
      </x:c>
    </x:row>
    <x:row r="73" ht="68" customHeight="1">
      <x:c r="A73" s="14" t="str">
        <x:v>D-9EA99C4F</x:v>
      </x:c>
      <x:c r="B73" s="14" t="str">
        <x:v>需人工获取</x:v>
      </x:c>
      <x:c r="C73" s="14" t="str">
        <x:v>Review of cognitive diagnostic models ( CDMs ): Recent methodological advancements for addressing practical challenges</x:v>
      </x:c>
      <x:c r="D73" s="14" t="str">
        <x:v>英文</x:v>
      </x:c>
      <x:c r="E73" s="15" t="str">
        <x:v>未处理</x:v>
      </x:c>
      <x:c r="F73" s="15" t="str"/>
      <x:c r="G73" s="16" t="str">
        <x:v>https://doi.org/10.1111/bmsp.70066</x:v>
      </x:c>
      <x:c r="H73" s="14" t="str">
        <x:v>B21</x:v>
      </x:c>
      <x:c r="I73" s="14" t="str">
        <x:v>Chun Wang; Yale Quan; David Arthur</x:v>
      </x:c>
      <x:c r="J73" s="18" t="n">
        <x:v>2026</x:v>
      </x:c>
      <x:c r="K73" s="14" t="str">
        <x:v>研究文献</x:v>
      </x:c>
      <x:c r="L73" s="14" t="str">
        <x:v>优先</x:v>
      </x:c>
      <x:c r="M73" s="14" t="str">
        <x:v>未取得全文；页面响应不能证明全文权限。</x:v>
      </x:c>
      <x:c r="N73" s="14" t="str">
        <x:v>从 DOI 或出版社页查看全文；也可使用学校图书馆或作者公开版本。</x:v>
      </x:c>
      <x:c r="O73" s="14" t="str">
        <x:v>认知诊断模型的近期方法综述，关注 Q 矩阵、属性层级和模型适配。</x:v>
      </x:c>
      <x:c r="P73" s="14" t="str">
        <x:v>10.1111/bmsp.70066</x:v>
      </x:c>
      <x:c r="Q73" s="14" t="str"/>
      <x:c r="R73" s="17"/>
      <x:c r="S73" s="14" t="str"/>
      <x:c r="T73" s="14" t="str"/>
      <x:c r="U73" s="19" t="n">
        <x:v>46303</x:v>
      </x:c>
    </x:row>
    <x:row r="74" ht="68" customHeight="1">
      <x:c r="A74" s="14" t="str">
        <x:v>D-3F8722E2</x:v>
      </x:c>
      <x:c r="B74" s="14" t="str">
        <x:v>需人工获取</x:v>
      </x:c>
      <x:c r="C74" s="14" t="str">
        <x:v>The probable error of a mean</x:v>
      </x:c>
      <x:c r="D74" s="14" t="str">
        <x:v>英文</x:v>
      </x:c>
      <x:c r="E74" s="15" t="str">
        <x:v>未处理</x:v>
      </x:c>
      <x:c r="F74" s="15" t="str"/>
      <x:c r="G74" s="16" t="str">
        <x:v>https://doi.org/10.2307/2331554</x:v>
      </x:c>
      <x:c r="H74" s="14" t="str">
        <x:v>C01</x:v>
      </x:c>
      <x:c r="I74" s="14" t="str">
        <x:v>Student (Gosset, W. S.)</x:v>
      </x:c>
      <x:c r="J74" s="18" t="n">
        <x:v>1908</x:v>
      </x:c>
      <x:c r="K74" s="14" t="str">
        <x:v>研究文献</x:v>
      </x:c>
      <x:c r="L74" s="14" t="str">
        <x:v>优先</x:v>
      </x:c>
      <x:c r="M74" s="14" t="str">
        <x:v>未取得全文；页面响应不能证明全文权限。</x:v>
      </x:c>
      <x:c r="N74" s="14" t="str">
        <x:v>从 DOI 或出版社页查看全文；也可使用学校图书馆或作者公开版本。</x:v>
      </x:c>
      <x:c r="O74" s="14" t="str">
        <x:v>t 分布的原始文献，写于健力士啤酒厂</x:v>
      </x:c>
      <x:c r="P74" s="14" t="str">
        <x:v>10.2307/2331554</x:v>
      </x:c>
      <x:c r="Q74" s="14" t="str"/>
      <x:c r="R74" s="17"/>
      <x:c r="S74" s="14" t="str"/>
      <x:c r="T74" s="14" t="str"/>
      <x:c r="U74" s="19" t="n">
        <x:v>46303</x:v>
      </x:c>
    </x:row>
    <x:row r="75" ht="68" customHeight="1">
      <x:c r="A75" s="14" t="str">
        <x:v>D-F0676ECE</x:v>
      </x:c>
      <x:c r="B75" s="14" t="str">
        <x:v>需人工获取</x:v>
      </x:c>
      <x:c r="C75" s="14" t="str">
        <x:v>An introduction to mixed models for experimental psychology</x:v>
      </x:c>
      <x:c r="D75" s="14" t="str">
        <x:v>英文</x:v>
      </x:c>
      <x:c r="E75" s="15" t="str">
        <x:v>未处理</x:v>
      </x:c>
      <x:c r="F75" s="15" t="str"/>
      <x:c r="G75" s="16" t="str">
        <x:v>https://doi.org/10.4324/9780429318405-2</x:v>
      </x:c>
      <x:c r="H75" s="14" t="str">
        <x:v>C02</x:v>
      </x:c>
      <x:c r="I75" s="14" t="str">
        <x:v>Singmann, H., &amp; Kellen, D.</x:v>
      </x:c>
      <x:c r="J75" s="18" t="n">
        <x:v>2019</x:v>
      </x:c>
      <x:c r="K75" s="14" t="str">
        <x:v>研究文献</x:v>
      </x:c>
      <x:c r="L75" s="14" t="str">
        <x:v>优先</x:v>
      </x:c>
      <x:c r="M75" s="14" t="str">
        <x:v>未取得全文；页面响应不能证明全文权限。</x:v>
      </x:c>
      <x:c r="N75" s="14" t="str">
        <x:v>从 DOI 或出版社页查看全文；也可使用学校图书馆或作者公开版本。</x:v>
      </x:c>
      <x:c r="O75" s="14" t="str">
        <x:v>**afex 作者写的**：为什么方差分析常常该被混合模型取代</x:v>
      </x:c>
      <x:c r="P75" s="14" t="str">
        <x:v>10.4324/9780429318405-2</x:v>
      </x:c>
      <x:c r="Q75" s="14" t="str"/>
      <x:c r="R75" s="17"/>
      <x:c r="S75" s="14" t="str"/>
      <x:c r="T75" s="14" t="str"/>
      <x:c r="U75" s="19" t="n">
        <x:v>46303</x:v>
      </x:c>
    </x:row>
    <x:row r="76" ht="68" customHeight="1">
      <x:c r="A76" s="14" t="str">
        <x:v>D-BC23CAC3</x:v>
      </x:c>
      <x:c r="B76" s="14" t="str">
        <x:v>需人工获取</x:v>
      </x:c>
      <x:c r="C76" s="14" t="str">
        <x:v>Comparing individual means in the analysis of variance</x:v>
      </x:c>
      <x:c r="D76" s="14" t="str">
        <x:v>英文</x:v>
      </x:c>
      <x:c r="E76" s="15" t="str">
        <x:v>未处理</x:v>
      </x:c>
      <x:c r="F76" s="15" t="str"/>
      <x:c r="G76" s="16" t="str">
        <x:v>https://doi.org/10.2307/3001913</x:v>
      </x:c>
      <x:c r="H76" s="14" t="str">
        <x:v>C03</x:v>
      </x:c>
      <x:c r="I76" s="14" t="str">
        <x:v>Tukey, J. W.</x:v>
      </x:c>
      <x:c r="J76" s="18" t="n">
        <x:v>1949</x:v>
      </x:c>
      <x:c r="K76" s="14" t="str">
        <x:v>研究文献</x:v>
      </x:c>
      <x:c r="L76" s="14" t="str">
        <x:v>优先</x:v>
      </x:c>
      <x:c r="M76" s="14" t="str">
        <x:v>未取得全文；页面响应不能证明全文权限。</x:v>
      </x:c>
      <x:c r="N76" s="14" t="str">
        <x:v>从 DOI 或出版社页查看全文；也可使用学校图书馆或作者公开版本。</x:v>
      </x:c>
      <x:c r="O76" s="14" t="str">
        <x:v>Tukey HSD 的来源</x:v>
      </x:c>
      <x:c r="P76" s="14" t="str">
        <x:v>10.2307/3001913</x:v>
      </x:c>
      <x:c r="Q76" s="14" t="str"/>
      <x:c r="R76" s="17"/>
      <x:c r="S76" s="14" t="str"/>
      <x:c r="T76" s="14" t="str"/>
      <x:c r="U76" s="19" t="n">
        <x:v>46303</x:v>
      </x:c>
    </x:row>
    <x:row r="77" ht="68" customHeight="1">
      <x:c r="A77" s="14" t="str">
        <x:v>D-DB75EF89</x:v>
      </x:c>
      <x:c r="B77" s="14" t="str">
        <x:v>需人工获取</x:v>
      </x:c>
      <x:c r="C77" s="14" t="str">
        <x:v>Contrasts and Effect Sizes in Behavioral Research: A Correlational Approach</x:v>
      </x:c>
      <x:c r="D77" s="14" t="str">
        <x:v>英文</x:v>
      </x:c>
      <x:c r="E77" s="15" t="str">
        <x:v>未处理</x:v>
      </x:c>
      <x:c r="F77" s="15" t="str"/>
      <x:c r="G77" s="16" t="str">
        <x:v>https://doi.org/10.1017/cbo9780511804403</x:v>
      </x:c>
      <x:c r="H77" s="14" t="str">
        <x:v>C03</x:v>
      </x:c>
      <x:c r="I77" s="14" t="str">
        <x:v>Rosenthal, R., Rosnow, R. L., &amp; Rubin, D. B.</x:v>
      </x:c>
      <x:c r="J77" s="18" t="n">
        <x:v>2000</x:v>
      </x:c>
      <x:c r="K77" s="14" t="str">
        <x:v>研究文献</x:v>
      </x:c>
      <x:c r="L77" s="14" t="str">
        <x:v>优先</x:v>
      </x:c>
      <x:c r="M77" s="14" t="str">
        <x:v>未取得全文；页面响应不能证明全文权限。</x:v>
      </x:c>
      <x:c r="N77" s="14" t="str">
        <x:v>从 DOI 或出版社页查看全文；也可使用学校图书馆或作者公开版本。</x:v>
      </x:c>
      <x:c r="O77" s="14" t="str">
        <x:v>**事前对比的系统论证**：比全面两两比较更有力也更有理论含量</x:v>
      </x:c>
      <x:c r="P77" s="14" t="str">
        <x:v>10.1017/cbo9780511804403</x:v>
      </x:c>
      <x:c r="Q77" s="14" t="str"/>
      <x:c r="R77" s="17"/>
      <x:c r="S77" s="14" t="str"/>
      <x:c r="T77" s="14" t="str"/>
      <x:c r="U77" s="19" t="n">
        <x:v>46303</x:v>
      </x:c>
    </x:row>
    <x:row r="78" ht="68" customHeight="1">
      <x:c r="A78" s="14" t="str">
        <x:v>D-C9463333</x:v>
      </x:c>
      <x:c r="B78" s="14" t="str">
        <x:v>需人工获取</x:v>
      </x:c>
      <x:c r="C78" s="14" t="str">
        <x:v>On methods in the analysis of profile data</x:v>
      </x:c>
      <x:c r="D78" s="14" t="str">
        <x:v>英文</x:v>
      </x:c>
      <x:c r="E78" s="15" t="str">
        <x:v>未处理</x:v>
      </x:c>
      <x:c r="F78" s="15" t="str"/>
      <x:c r="G78" s="16" t="str">
        <x:v>https://doi.org/10.1007/bf02289823</x:v>
      </x:c>
      <x:c r="H78" s="14" t="str">
        <x:v>C04</x:v>
      </x:c>
      <x:c r="I78" s="14" t="str">
        <x:v>Greenhouse, S. W., &amp; Geisser, S.</x:v>
      </x:c>
      <x:c r="J78" s="18" t="n">
        <x:v>1959</x:v>
      </x:c>
      <x:c r="K78" s="14" t="str">
        <x:v>研究文献</x:v>
      </x:c>
      <x:c r="L78" s="14" t="str">
        <x:v>优先</x:v>
      </x:c>
      <x:c r="M78" s="14" t="str">
        <x:v>未取得全文；页面响应不能证明全文权限。</x:v>
      </x:c>
      <x:c r="N78" s="14" t="str">
        <x:v>从 DOI 或出版社页查看全文；也可使用学校图书馆或作者公开版本。</x:v>
      </x:c>
      <x:c r="O78" s="14" t="str">
        <x:v>球形性校正的来源</x:v>
      </x:c>
      <x:c r="P78" s="14" t="str">
        <x:v>10.1007/bf02289823</x:v>
      </x:c>
      <x:c r="Q78" s="14" t="str"/>
      <x:c r="R78" s="17"/>
      <x:c r="S78" s="14" t="str"/>
      <x:c r="T78" s="14" t="str"/>
      <x:c r="U78" s="19" t="n">
        <x:v>46303</x:v>
      </x:c>
    </x:row>
    <x:row r="79" ht="68" customHeight="1">
      <x:c r="A79" s="14" t="str">
        <x:v>D-8787DEEA</x:v>
      </x:c>
      <x:c r="B79" s="14" t="str">
        <x:v>需人工获取</x:v>
      </x:c>
      <x:c r="C79" s="14" t="str">
        <x:v>Recommended effect size statistics for repeated measures designs</x:v>
      </x:c>
      <x:c r="D79" s="14" t="str">
        <x:v>英文</x:v>
      </x:c>
      <x:c r="E79" s="15" t="str">
        <x:v>未处理</x:v>
      </x:c>
      <x:c r="F79" s="15" t="str"/>
      <x:c r="G79" s="16" t="str">
        <x:v>https://doi.org/10.3758/bf03192707</x:v>
      </x:c>
      <x:c r="H79" s="14" t="str">
        <x:v>C04</x:v>
      </x:c>
      <x:c r="I79" s="14" t="str">
        <x:v>Bakeman, R.</x:v>
      </x:c>
      <x:c r="J79" s="18" t="n">
        <x:v>2005</x:v>
      </x:c>
      <x:c r="K79" s="14" t="str">
        <x:v>研究文献</x:v>
      </x:c>
      <x:c r="L79" s="14" t="str">
        <x:v>优先</x:v>
      </x:c>
      <x:c r="M79" s="14" t="str">
        <x:v>未取得全文；页面响应不能证明全文权限。</x:v>
      </x:c>
      <x:c r="N79" s="14" t="str">
        <x:v>从 DOI 或出版社页查看全文；也可使用学校图书馆或作者公开版本。</x:v>
      </x:c>
      <x:c r="O79" s="14" t="str">
        <x:v>**广义 η² 才是重复测量设计该报的效应量**，偏 η² 不能跨设计比较</x:v>
      </x:c>
      <x:c r="P79" s="14" t="str">
        <x:v>10.3758/bf03192707</x:v>
      </x:c>
      <x:c r="Q79" s="14" t="str"/>
      <x:c r="R79" s="17"/>
      <x:c r="S79" s="14" t="str"/>
      <x:c r="T79" s="14" t="str"/>
      <x:c r="U79" s="19" t="n">
        <x:v>46303</x:v>
      </x:c>
    </x:row>
    <x:row r="80" ht="68" customHeight="1">
      <x:c r="A80" s="14" t="str">
        <x:v>D-D79134E7</x:v>
      </x:c>
      <x:c r="B80" s="14" t="str">
        <x:v>需人工获取</x:v>
      </x:c>
      <x:c r="C80" s="14" t="str">
        <x:v>ANCOVA versus change from baseline had more power in randomized studies and more bias in nonrandomized studies</x:v>
      </x:c>
      <x:c r="D80" s="14" t="str">
        <x:v>英文</x:v>
      </x:c>
      <x:c r="E80" s="15" t="str">
        <x:v>未处理</x:v>
      </x:c>
      <x:c r="F80" s="15" t="str"/>
      <x:c r="G80" s="16" t="str">
        <x:v>https://doi.org/10.1016/j.jclinepi.2006.02.007</x:v>
      </x:c>
      <x:c r="H80" s="14" t="str">
        <x:v>C05</x:v>
      </x:c>
      <x:c r="I80" s="14" t="str">
        <x:v>Van Breukelen, G. J. P.</x:v>
      </x:c>
      <x:c r="J80" s="18" t="n">
        <x:v>2006</x:v>
      </x:c>
      <x:c r="K80" s="14" t="str">
        <x:v>研究文献</x:v>
      </x:c>
      <x:c r="L80" s="14" t="str">
        <x:v>优先</x:v>
      </x:c>
      <x:c r="M80" s="14" t="str">
        <x:v>未取得全文；页面响应不能证明全文权限。</x:v>
      </x:c>
      <x:c r="N80" s="14" t="str">
        <x:v>从 DOI 或出版社页查看全文；也可使用学校图书馆或作者公开版本。</x:v>
      </x:c>
      <x:c r="O80" s="14" t="str">
        <x:v>**随机时 ANCOVA 更有力，非随机时它更有偏**。一句话的决策规则</x:v>
      </x:c>
      <x:c r="P80" s="14" t="str">
        <x:v>10.1016/j.jclinepi.2006.02.007</x:v>
      </x:c>
      <x:c r="Q80" s="14" t="str"/>
      <x:c r="R80" s="17"/>
      <x:c r="S80" s="14" t="str"/>
      <x:c r="T80" s="14" t="str"/>
      <x:c r="U80" s="19" t="n">
        <x:v>46303</x:v>
      </x:c>
    </x:row>
    <x:row r="81" ht="68" customHeight="1">
      <x:c r="A81" s="14" t="str">
        <x:v>D-ABBA35E7</x:v>
      </x:c>
      <x:c r="B81" s="14" t="str">
        <x:v>需人工获取</x:v>
      </x:c>
      <x:c r="C81" s="14" t="str">
        <x:v>Certain generalizations in the analysis of variance</x:v>
      </x:c>
      <x:c r="D81" s="14" t="str">
        <x:v>英文</x:v>
      </x:c>
      <x:c r="E81" s="15" t="str">
        <x:v>未处理</x:v>
      </x:c>
      <x:c r="F81" s="15" t="str"/>
      <x:c r="G81" s="16" t="str">
        <x:v>https://doi.org/10.2307/2331979</x:v>
      </x:c>
      <x:c r="H81" s="14" t="str">
        <x:v>C06</x:v>
      </x:c>
      <x:c r="I81" s="14" t="str">
        <x:v>Wilks, S. S.</x:v>
      </x:c>
      <x:c r="J81" s="18" t="n">
        <x:v>1932</x:v>
      </x:c>
      <x:c r="K81" s="14" t="str">
        <x:v>研究文献</x:v>
      </x:c>
      <x:c r="L81" s="14" t="str">
        <x:v>优先</x:v>
      </x:c>
      <x:c r="M81" s="14" t="str">
        <x:v>未取得全文；页面响应不能证明全文权限。</x:v>
      </x:c>
      <x:c r="N81" s="14" t="str">
        <x:v>从 DOI 或出版社页查看全文；也可使用学校图书馆或作者公开版本。</x:v>
      </x:c>
      <x:c r="O81" s="14" t="str">
        <x:v>Wilks Λ 的来源</x:v>
      </x:c>
      <x:c r="P81" s="14" t="str">
        <x:v>10.2307/2331979</x:v>
      </x:c>
      <x:c r="Q81" s="14" t="str"/>
      <x:c r="R81" s="17"/>
      <x:c r="S81" s="14" t="str"/>
      <x:c r="T81" s="14" t="str"/>
      <x:c r="U81" s="19" t="n">
        <x:v>46303</x:v>
      </x:c>
    </x:row>
    <x:row r="82" ht="68" customHeight="1">
      <x:c r="A82" s="14" t="str">
        <x:v>D-6C2E7D35</x:v>
      </x:c>
      <x:c r="B82" s="14" t="str">
        <x:v>需人工获取</x:v>
      </x:c>
      <x:c r="C82" s="14" t="str">
        <x:v>Lasso adjustments of treatment effect estimates in randomized experiments</x:v>
      </x:c>
      <x:c r="D82" s="14" t="str">
        <x:v>英文</x:v>
      </x:c>
      <x:c r="E82" s="15" t="str">
        <x:v>未处理</x:v>
      </x:c>
      <x:c r="F82" s="15" t="str"/>
      <x:c r="G82" s="16" t="str">
        <x:v>https://doi.org/10.1073/pnas.1510506113</x:v>
      </x:c>
      <x:c r="H82" s="14" t="str">
        <x:v>C07</x:v>
      </x:c>
      <x:c r="I82" s="14" t="str">
        <x:v>Bloniarz, A., Liu, H., Zhang, C.-H., Sekhon, J. S., &amp; Yu, B.</x:v>
      </x:c>
      <x:c r="J82" s="18" t="n">
        <x:v>2016</x:v>
      </x:c>
      <x:c r="K82" s="14" t="str">
        <x:v>研究文献</x:v>
      </x:c>
      <x:c r="L82" s="14" t="str">
        <x:v>优先</x:v>
      </x:c>
      <x:c r="M82" s="14" t="str">
        <x:v>未取得全文；页面响应不能证明全文权限。</x:v>
      </x:c>
      <x:c r="N82" s="14" t="str">
        <x:v>从 DOI 或出版社页查看全文；也可使用学校图书馆或作者公开版本。</x:v>
      </x:c>
      <x:c r="O82" s="14" t="str">
        <x:v>随机实验中加协变量提高精度的正确做法</x:v>
      </x:c>
      <x:c r="P82" s="14" t="str">
        <x:v>10.1073/pnas.1510506113</x:v>
      </x:c>
      <x:c r="Q82" s="14" t="str"/>
      <x:c r="R82" s="17"/>
      <x:c r="S82" s="14" t="str"/>
      <x:c r="T82" s="14" t="str"/>
      <x:c r="U82" s="19" t="n">
        <x:v>46303</x:v>
      </x:c>
    </x:row>
    <x:row r="83" ht="68" customHeight="1">
      <x:c r="A83" s="14" t="str">
        <x:v>D-70E6895B</x:v>
      </x:c>
      <x:c r="B83" s="14" t="str">
        <x:v>需人工获取</x:v>
      </x:c>
      <x:c r="C83" s="14" t="str">
        <x:v>Estimating causal effects of treatments in randomized and nonrandomized studies</x:v>
      </x:c>
      <x:c r="D83" s="14" t="str">
        <x:v>英文</x:v>
      </x:c>
      <x:c r="E83" s="15" t="str">
        <x:v>未处理</x:v>
      </x:c>
      <x:c r="F83" s="15" t="str"/>
      <x:c r="G83" s="16" t="str">
        <x:v>https://doi.org/10.1037/h0037350</x:v>
      </x:c>
      <x:c r="H83" s="14" t="str">
        <x:v>C07；G01；G06；G07</x:v>
      </x:c>
      <x:c r="I83" s="14" t="str">
        <x:v>Rubin, D. B.</x:v>
      </x:c>
      <x:c r="J83" s="18" t="n">
        <x:v>1974</x:v>
      </x:c>
      <x:c r="K83" s="14" t="str">
        <x:v>研究文献</x:v>
      </x:c>
      <x:c r="L83" s="14" t="str">
        <x:v>优先</x:v>
      </x:c>
      <x:c r="M83" s="14" t="str">
        <x:v>未取得全文；页面响应不能证明全文权限。</x:v>
      </x:c>
      <x:c r="N83" s="14" t="str">
        <x:v>从 DOI 或出版社页查看全文；也可使用学校图书馆或作者公开版本。</x:v>
      </x:c>
      <x:c r="O83" s="14" t="str">
        <x:v>潜在结果框架的现代起点，而且发在教育心理学期刊上——心理学读者的天然入口</x:v>
      </x:c>
      <x:c r="P83" s="14" t="str">
        <x:v>10.1037/h0037350</x:v>
      </x:c>
      <x:c r="Q83" s="14" t="str"/>
      <x:c r="R83" s="17"/>
      <x:c r="S83" s="14" t="str"/>
      <x:c r="T83" s="14" t="str"/>
      <x:c r="U83" s="19" t="n">
        <x:v>46303</x:v>
      </x:c>
    </x:row>
    <x:row r="84" ht="68" customHeight="1">
      <x:c r="A84" s="14" t="str">
        <x:v>D-C2E4A133</x:v>
      </x:c>
      <x:c r="B84" s="14" t="str">
        <x:v>需人工获取</x:v>
      </x:c>
      <x:c r="C84" s="14" t="str">
        <x:v>Can nonrandomized experiments yield accurate answers? A randomized experiment comparing random and nonrandom assignments</x:v>
      </x:c>
      <x:c r="D84" s="14" t="str">
        <x:v>英文</x:v>
      </x:c>
      <x:c r="E84" s="15" t="str">
        <x:v>未处理</x:v>
      </x:c>
      <x:c r="F84" s="15" t="str"/>
      <x:c r="G84" s="16" t="str">
        <x:v>https://doi.org/10.1198/016214508000000733</x:v>
      </x:c>
      <x:c r="H84" s="14" t="str">
        <x:v>C08</x:v>
      </x:c>
      <x:c r="I84" s="14" t="str">
        <x:v>Shadish, W. R., Clark, M. H., &amp; Steiner, P. M.</x:v>
      </x:c>
      <x:c r="J84" s="18" t="n">
        <x:v>2008</x:v>
      </x:c>
      <x:c r="K84" s="14" t="str">
        <x:v>研究文献</x:v>
      </x:c>
      <x:c r="L84" s="14" t="str">
        <x:v>优先</x:v>
      </x:c>
      <x:c r="M84" s="14" t="str">
        <x:v>未取得全文；页面响应不能证明全文权限。</x:v>
      </x:c>
      <x:c r="N84" s="14" t="str">
        <x:v>从 DOI 或出版社页查看全文；也可使用学校图书馆或作者公开版本。</x:v>
      </x:c>
      <x:c r="O84" s="14" t="str">
        <x:v>**用随机实验去检验准实验**：在什么条件下准实验能逼近 RCT 的答案</x:v>
      </x:c>
      <x:c r="P84" s="14" t="str">
        <x:v>10.1198/016214508000000733</x:v>
      </x:c>
      <x:c r="Q84" s="14" t="str"/>
      <x:c r="R84" s="17"/>
      <x:c r="S84" s="14" t="str"/>
      <x:c r="T84" s="14" t="str"/>
      <x:c r="U84" s="19" t="n">
        <x:v>46303</x:v>
      </x:c>
    </x:row>
    <x:row r="85" ht="68" customHeight="1">
      <x:c r="A85" s="14" t="str">
        <x:v>D-D2C486E6</x:v>
      </x:c>
      <x:c r="B85" s="14" t="str">
        <x:v>需人工获取</x:v>
      </x:c>
      <x:c r="C85" s="14" t="str">
        <x:v>Causal inference in conjoint analysis: Understanding multidimensional choices via stated preference experiments</x:v>
      </x:c>
      <x:c r="D85" s="14" t="str">
        <x:v>英文</x:v>
      </x:c>
      <x:c r="E85" s="15" t="str">
        <x:v>未处理</x:v>
      </x:c>
      <x:c r="F85" s="15" t="str"/>
      <x:c r="G85" s="16" t="str">
        <x:v>https://doi.org/10.2139/ssrn.2231687</x:v>
      </x:c>
      <x:c r="H85" s="14" t="str">
        <x:v>C09</x:v>
      </x:c>
      <x:c r="I85" s="14" t="str">
        <x:v>Hainmueller, J., Hopkins, D. J., &amp; Yamamoto, T.</x:v>
      </x:c>
      <x:c r="J85" s="18" t="n">
        <x:v>2014</x:v>
      </x:c>
      <x:c r="K85" s="14" t="str">
        <x:v>研究文献</x:v>
      </x:c>
      <x:c r="L85" s="14" t="str">
        <x:v>优先</x:v>
      </x:c>
      <x:c r="M85" s="14" t="str">
        <x:v>未取得全文；页面响应不能证明全文权限。</x:v>
      </x:c>
      <x:c r="N85" s="14" t="str">
        <x:v>从 DOI 或出版社页查看全文；也可使用学校图书馆或作者公开版本。</x:v>
      </x:c>
      <x:c r="O85" s="14" t="str">
        <x:v>**把联合分析实验因果推断化的那一篇**，AMCE 的来源 链接为作者公开稿或工作论文，可能与正式发表版在年份、题名或内容上不同；引用时请核对所用版本。</x:v>
      </x:c>
      <x:c r="P85" s="14" t="str">
        <x:v>10.2139/ssrn.2231687</x:v>
      </x:c>
      <x:c r="Q85" s="14" t="str"/>
      <x:c r="R85" s="17"/>
      <x:c r="S85" s="14" t="str"/>
      <x:c r="T85" s="14" t="str"/>
      <x:c r="U85" s="19" t="n">
        <x:v>46303</x:v>
      </x:c>
    </x:row>
    <x:row r="86" ht="68" customHeight="1">
      <x:c r="A86" s="14" t="str">
        <x:v>D-F20C3DA3</x:v>
      </x:c>
      <x:c r="B86" s="14" t="str">
        <x:v>需人工获取</x:v>
      </x:c>
      <x:c r="C86" s="14" t="str">
        <x:v>Measuring subgroup preferences in conjoint experiments</x:v>
      </x:c>
      <x:c r="D86" s="14" t="str">
        <x:v>英文</x:v>
      </x:c>
      <x:c r="E86" s="15" t="str">
        <x:v>未处理</x:v>
      </x:c>
      <x:c r="F86" s="15" t="str"/>
      <x:c r="G86" s="16" t="str">
        <x:v>https://doi.org/10.1017/pan.2019.30</x:v>
      </x:c>
      <x:c r="H86" s="14" t="str">
        <x:v>C09</x:v>
      </x:c>
      <x:c r="I86" s="14" t="str">
        <x:v>Leeper, T. J., Hobolt, S. B., &amp; Tilley, J.</x:v>
      </x:c>
      <x:c r="J86" s="18" t="n">
        <x:v>2020</x:v>
      </x:c>
      <x:c r="K86" s="14" t="str">
        <x:v>研究文献</x:v>
      </x:c>
      <x:c r="L86" s="14" t="str">
        <x:v>优先</x:v>
      </x:c>
      <x:c r="M86" s="14" t="str">
        <x:v>未取得全文；页面响应不能证明全文权限。</x:v>
      </x:c>
      <x:c r="N86" s="14" t="str">
        <x:v>从 DOI 或出版社页查看全文；也可使用学校图书馆或作者公开版本。</x:v>
      </x:c>
      <x:c r="O86" s="14" t="str">
        <x:v>**为什么子群比较要用边际均值而不是 AMCE**：AMCE 依赖参照类的选择</x:v>
      </x:c>
      <x:c r="P86" s="14" t="str">
        <x:v>10.1017/pan.2019.30</x:v>
      </x:c>
      <x:c r="Q86" s="14" t="str"/>
      <x:c r="R86" s="17"/>
      <x:c r="S86" s="14" t="str"/>
      <x:c r="T86" s="14" t="str"/>
      <x:c r="U86" s="19" t="n">
        <x:v>46303</x:v>
      </x:c>
    </x:row>
    <x:row r="87" ht="68" customHeight="1">
      <x:c r="A87" s="14" t="str">
        <x:v>D-81AB9399</x:v>
      </x:c>
      <x:c r="B87" s="14" t="str">
        <x:v>需人工获取</x:v>
      </x:c>
      <x:c r="C87" s="14" t="str">
        <x:v>Randomized response: A survey technique for eliminating evasive answer bias</x:v>
      </x:c>
      <x:c r="D87" s="14" t="str">
        <x:v>英文</x:v>
      </x:c>
      <x:c r="E87" s="15" t="str">
        <x:v>未处理</x:v>
      </x:c>
      <x:c r="F87" s="15" t="str"/>
      <x:c r="G87" s="16" t="str">
        <x:v>https://doi.org/10.1080/01621459.1965.10480775</x:v>
      </x:c>
      <x:c r="H87" s="14" t="str">
        <x:v>C10</x:v>
      </x:c>
      <x:c r="I87" s="14" t="str">
        <x:v>Warner, S. L.</x:v>
      </x:c>
      <x:c r="J87" s="18" t="n">
        <x:v>1965</x:v>
      </x:c>
      <x:c r="K87" s="14" t="str">
        <x:v>研究文献</x:v>
      </x:c>
      <x:c r="L87" s="14" t="str">
        <x:v>优先</x:v>
      </x:c>
      <x:c r="M87" s="14" t="str">
        <x:v>未取得全文；页面响应不能证明全文权限。</x:v>
      </x:c>
      <x:c r="N87" s="14" t="str">
        <x:v>从 DOI 或出版社页查看全文；也可使用学校图书馆或作者公开版本。</x:v>
      </x:c>
      <x:c r="O87" s="14" t="str">
        <x:v>随机应答技术的原始文献</x:v>
      </x:c>
      <x:c r="P87" s="14" t="str">
        <x:v>10.1080/01621459.1965.10480775</x:v>
      </x:c>
      <x:c r="Q87" s="14" t="str"/>
      <x:c r="R87" s="17"/>
      <x:c r="S87" s="14" t="str"/>
      <x:c r="T87" s="14" t="str"/>
      <x:c r="U87" s="19" t="n">
        <x:v>46303</x:v>
      </x:c>
    </x:row>
    <x:row r="88" ht="68" customHeight="1">
      <x:c r="A88" s="14" t="str">
        <x:v>D-C7693DE3</x:v>
      </x:c>
      <x:c r="B88" s="14" t="str">
        <x:v>需人工获取</x:v>
      </x:c>
      <x:c r="C88" s="14" t="str">
        <x:v>Statistical analysis of list experiments</x:v>
      </x:c>
      <x:c r="D88" s="14" t="str">
        <x:v>英文</x:v>
      </x:c>
      <x:c r="E88" s="15" t="str">
        <x:v>未处理</x:v>
      </x:c>
      <x:c r="F88" s="15" t="str"/>
      <x:c r="G88" s="16" t="str">
        <x:v>https://doi.org/10.1093/pan/mpr048</x:v>
      </x:c>
      <x:c r="H88" s="14" t="str">
        <x:v>C10</x:v>
      </x:c>
      <x:c r="I88" s="14" t="str">
        <x:v>Blair, G., &amp; Imai, K.</x:v>
      </x:c>
      <x:c r="J88" s="18" t="n">
        <x:v>2012</x:v>
      </x:c>
      <x:c r="K88" s="14" t="str">
        <x:v>研究文献</x:v>
      </x:c>
      <x:c r="L88" s="14" t="str">
        <x:v>优先</x:v>
      </x:c>
      <x:c r="M88" s="14" t="str">
        <x:v>未取得全文；页面响应不能证明全文权限。</x:v>
      </x:c>
      <x:c r="N88" s="14" t="str">
        <x:v>从 DOI 或出版社页查看全文；也可使用学校图书馆或作者公开版本。</x:v>
      </x:c>
      <x:c r="O88" s="14" t="str">
        <x:v>**列举实验的现代统计方法**，list 包的理论基础</x:v>
      </x:c>
      <x:c r="P88" s="14" t="str">
        <x:v>10.1093/pan/mpr048</x:v>
      </x:c>
      <x:c r="Q88" s="14" t="str"/>
      <x:c r="R88" s="17"/>
      <x:c r="S88" s="14" t="str"/>
      <x:c r="T88" s="14" t="str"/>
      <x:c r="U88" s="19" t="n">
        <x:v>46303</x:v>
      </x:c>
    </x:row>
    <x:row r="89" ht="68" customHeight="1">
      <x:c r="A89" s="14" t="str">
        <x:v>D-AF13C15D</x:v>
      </x:c>
      <x:c r="B89" s="14" t="str">
        <x:v>需人工获取</x:v>
      </x:c>
      <x:c r="C89" s="14" t="str">
        <x:v>Double/debiased machine learning for treatment and structural parameters</x:v>
      </x:c>
      <x:c r="D89" s="14" t="str">
        <x:v>英文</x:v>
      </x:c>
      <x:c r="E89" s="15" t="str">
        <x:v>未处理</x:v>
      </x:c>
      <x:c r="F89" s="15" t="str"/>
      <x:c r="G89" s="16" t="str">
        <x:v>https://doi.org/10.1111/ectj.12097</x:v>
      </x:c>
      <x:c r="H89" s="14" t="str">
        <x:v>C11；G09；G11；G13；G17</x:v>
      </x:c>
      <x:c r="I89" s="14" t="str">
        <x:v>Chernozhukov, V., Chetverikov, D., Demirer, M., et al.</x:v>
      </x:c>
      <x:c r="J89" s="18" t="n">
        <x:v>2018</x:v>
      </x:c>
      <x:c r="K89" s="14" t="str">
        <x:v>研究文献</x:v>
      </x:c>
      <x:c r="L89" s="14" t="str">
        <x:v>优先</x:v>
      </x:c>
      <x:c r="M89" s="14" t="str">
        <x:v>未取得全文；页面响应不能证明全文权限。</x:v>
      </x:c>
      <x:c r="N89" s="14" t="str">
        <x:v>从 DOI 或出版社页查看全文；也可使用学校图书馆或作者公开版本。</x:v>
      </x:c>
      <x:c r="O89" s="14" t="str">
        <x:v>DML 的原始文献：Neyman 正交化 + 交叉拟合</x:v>
      </x:c>
      <x:c r="P89" s="14" t="str">
        <x:v>10.1111/ectj.12097</x:v>
      </x:c>
      <x:c r="Q89" s="14" t="str"/>
      <x:c r="R89" s="17"/>
      <x:c r="S89" s="14" t="str"/>
      <x:c r="T89" s="14" t="str"/>
      <x:c r="U89" s="19" t="n">
        <x:v>46303</x:v>
      </x:c>
    </x:row>
    <x:row r="90" ht="68" customHeight="1">
      <x:c r="A90" s="14" t="str">
        <x:v>D-CB226218</x:v>
      </x:c>
      <x:c r="B90" s="14" t="str">
        <x:v>需人工获取</x:v>
      </x:c>
      <x:c r="C90" s="14" t="str">
        <x:v>Estimation and inference of heterogeneous treatment effects using random forests</x:v>
      </x:c>
      <x:c r="D90" s="14" t="str">
        <x:v>英文</x:v>
      </x:c>
      <x:c r="E90" s="15" t="str">
        <x:v>未处理</x:v>
      </x:c>
      <x:c r="F90" s="15" t="str"/>
      <x:c r="G90" s="16" t="str">
        <x:v>https://doi.org/10.1080/01621459.2017.1319839</x:v>
      </x:c>
      <x:c r="H90" s="14" t="str">
        <x:v>C11；G09；G11；G13；G17</x:v>
      </x:c>
      <x:c r="I90" s="14" t="str">
        <x:v>Wager, S., &amp; Athey, S.</x:v>
      </x:c>
      <x:c r="J90" s="18" t="n">
        <x:v>2018</x:v>
      </x:c>
      <x:c r="K90" s="14" t="str">
        <x:v>研究文献</x:v>
      </x:c>
      <x:c r="L90" s="14" t="str">
        <x:v>优先</x:v>
      </x:c>
      <x:c r="M90" s="14" t="str">
        <x:v>未取得全文；页面响应不能证明全文权限。</x:v>
      </x:c>
      <x:c r="N90" s="14" t="str">
        <x:v>从 DOI 或出版社页查看全文；也可使用学校图书馆或作者公开版本。</x:v>
      </x:c>
      <x:c r="O90" s="14" t="str">
        <x:v>因果森林的原始文献，诚实估计的理论</x:v>
      </x:c>
      <x:c r="P90" s="14" t="str">
        <x:v>10.1080/01621459.2017.1319839</x:v>
      </x:c>
      <x:c r="Q90" s="14" t="str"/>
      <x:c r="R90" s="17"/>
      <x:c r="S90" s="14" t="str"/>
      <x:c r="T90" s="14" t="str"/>
      <x:c r="U90" s="19" t="n">
        <x:v>46303</x:v>
      </x:c>
    </x:row>
    <x:row r="91" ht="68" customHeight="1">
      <x:c r="A91" s="14" t="str">
        <x:v>D-D4CA25D9</x:v>
      </x:c>
      <x:c r="B91" s="14" t="str">
        <x:v>需人工获取</x:v>
      </x:c>
      <x:c r="C91" s="14" t="str">
        <x:v>Microrandomized trials: An experimental design for developing just-in-time adaptive interventions.</x:v>
      </x:c>
      <x:c r="D91" s="14" t="str">
        <x:v>英文</x:v>
      </x:c>
      <x:c r="E91" s="15" t="str">
        <x:v>未处理</x:v>
      </x:c>
      <x:c r="F91" s="15" t="str"/>
      <x:c r="G91" s="16" t="str">
        <x:v>https://doi.org/10.1037/hea0000305</x:v>
      </x:c>
      <x:c r="H91" s="14" t="str">
        <x:v>C11；G09；G11；G13；G17</x:v>
      </x:c>
      <x:c r="I91" s="14" t="str">
        <x:v>Predrag Klasnja; Eric B. Hekler; Saul Shiffman; Audrey Boruvka; Daniel Almirall; Ambuj Tewari; Susan A. Murphy</x:v>
      </x:c>
      <x:c r="J91" s="18" t="n">
        <x:v>2015</x:v>
      </x:c>
      <x:c r="K91" s="14" t="str">
        <x:v>研究文献</x:v>
      </x:c>
      <x:c r="L91" s="14" t="str">
        <x:v>优先</x:v>
      </x:c>
      <x:c r="M91" s="14" t="str">
        <x:v>未取得全文；页面响应不能证明全文权限。</x:v>
      </x:c>
      <x:c r="N91" s="14" t="str">
        <x:v>从 DOI 或出版社页查看全文；也可使用学校图书馆或作者公开版本。</x:v>
      </x:c>
      <x:c r="O91" s="14" t="str">
        <x:v>微随机试验的设计关键原文。</x:v>
      </x:c>
      <x:c r="P91" s="14" t="str">
        <x:v>10.1037/hea0000305</x:v>
      </x:c>
      <x:c r="Q91" s="14" t="str"/>
      <x:c r="R91" s="17"/>
      <x:c r="S91" s="14" t="str"/>
      <x:c r="T91" s="14" t="str"/>
      <x:c r="U91" s="19" t="n">
        <x:v>46303</x:v>
      </x:c>
    </x:row>
    <x:row r="92" ht="68" customHeight="1">
      <x:c r="A92" s="14" t="str">
        <x:v>D-15A579B2</x:v>
      </x:c>
      <x:c r="B92" s="14" t="str">
        <x:v>需人工获取</x:v>
      </x:c>
      <x:c r="C92" s="14" t="str">
        <x:v>Synthetic control methods for comparative case studies: Estimating the effect of California's tobacco control program</x:v>
      </x:c>
      <x:c r="D92" s="14" t="str">
        <x:v>英文</x:v>
      </x:c>
      <x:c r="E92" s="15" t="str">
        <x:v>未处理</x:v>
      </x:c>
      <x:c r="F92" s="15" t="str"/>
      <x:c r="G92" s="16" t="str">
        <x:v>https://doi.org/10.3386/t0335</x:v>
      </x:c>
      <x:c r="H92" s="14" t="str">
        <x:v>C11；G09；G11；G13；G17</x:v>
      </x:c>
      <x:c r="I92" s="14" t="str">
        <x:v>Abadie, A., Diamond, A., &amp; Hainmueller, J.</x:v>
      </x:c>
      <x:c r="J92" s="18" t="n">
        <x:v>2010</x:v>
      </x:c>
      <x:c r="K92" s="14" t="str">
        <x:v>研究文献</x:v>
      </x:c>
      <x:c r="L92" s="14" t="str">
        <x:v>优先</x:v>
      </x:c>
      <x:c r="M92" s="14" t="str">
        <x:v>未取得全文；页面响应不能证明全文权限。</x:v>
      </x:c>
      <x:c r="N92" s="14" t="str">
        <x:v>从 DOI 或出版社页查看全文；也可使用学校图书馆或作者公开版本。</x:v>
      </x:c>
      <x:c r="O92" s="14" t="str">
        <x:v>合成控制的标志性文献，加州控烟案例</x:v>
      </x:c>
      <x:c r="P92" s="14" t="str">
        <x:v>10.3386/t0335</x:v>
      </x:c>
      <x:c r="Q92" s="14" t="str"/>
      <x:c r="R92" s="17"/>
      <x:c r="S92" s="14" t="str"/>
      <x:c r="T92" s="14" t="str"/>
      <x:c r="U92" s="19" t="n">
        <x:v>46303</x:v>
      </x:c>
    </x:row>
    <x:row r="93" ht="68" customHeight="1">
      <x:c r="A93" s="14" t="str">
        <x:v>D-DB23D901</x:v>
      </x:c>
      <x:c r="B93" s="14" t="str">
        <x:v>需人工获取</x:v>
      </x:c>
      <x:c r="C93" s="14" t="str">
        <x:v>Testing the significance of a correlation with nonnormal data</x:v>
      </x:c>
      <x:c r="D93" s="14" t="str">
        <x:v>英文</x:v>
      </x:c>
      <x:c r="E93" s="15" t="str">
        <x:v>未处理</x:v>
      </x:c>
      <x:c r="F93" s="15" t="str"/>
      <x:c r="G93" s="16" t="str">
        <x:v>https://doi.org/10.1037/a0028087</x:v>
      </x:c>
      <x:c r="H93" s="14" t="str">
        <x:v>D01</x:v>
      </x:c>
      <x:c r="I93" s="14" t="str">
        <x:v>Bishara, A. J., &amp; Hittner, J. B.</x:v>
      </x:c>
      <x:c r="J93" s="18" t="n">
        <x:v>2012</x:v>
      </x:c>
      <x:c r="K93" s="14" t="str">
        <x:v>研究文献</x:v>
      </x:c>
      <x:c r="L93" s="14" t="str">
        <x:v>优先</x:v>
      </x:c>
      <x:c r="M93" s="14" t="str">
        <x:v>未取得全文；页面响应不能证明全文权限。</x:v>
      </x:c>
      <x:c r="N93" s="14" t="str">
        <x:v>从 DOI 或出版社页查看全文；也可使用学校图书馆或作者公开版本。</x:v>
      </x:c>
      <x:c r="O93" s="14" t="str">
        <x:v>非正态时该用哪种相关与检验的模拟比较</x:v>
      </x:c>
      <x:c r="P93" s="14" t="str">
        <x:v>10.1037/a0028087</x:v>
      </x:c>
      <x:c r="Q93" s="14" t="str"/>
      <x:c r="R93" s="17"/>
      <x:c r="S93" s="14" t="str"/>
      <x:c r="T93" s="14" t="str"/>
      <x:c r="U93" s="19" t="n">
        <x:v>46303</x:v>
      </x:c>
    </x:row>
    <x:row r="94" ht="68" customHeight="1">
      <x:c r="A94" s="14" t="str">
        <x:v>D-3D2EAC06</x:v>
      </x:c>
      <x:c r="B94" s="14" t="str">
        <x:v>需人工获取</x:v>
      </x:c>
      <x:c r="C94" s="14" t="str">
        <x:v>Multiple Regression: Testing and Interpreting Interactions</x:v>
      </x:c>
      <x:c r="D94" s="14" t="str">
        <x:v>英文</x:v>
      </x:c>
      <x:c r="E94" s="15" t="str">
        <x:v>未处理</x:v>
      </x:c>
      <x:c r="F94" s="15" t="str"/>
      <x:c r="G94" s="16" t="str">
        <x:v>https://in.sagepub.com/en-in/ind/multiple-regression/book3045</x:v>
      </x:c>
      <x:c r="H94" s="14" t="str">
        <x:v>D02；D06</x:v>
      </x:c>
      <x:c r="I94" s="14" t="str">
        <x:v>Aiken, L. S., &amp; West, S. G.</x:v>
      </x:c>
      <x:c r="J94" s="18" t="n">
        <x:v>1991</x:v>
      </x:c>
      <x:c r="K94" s="14" t="str">
        <x:v>研究文献</x:v>
      </x:c>
      <x:c r="L94" s="14" t="str">
        <x:v>优先</x:v>
      </x:c>
      <x:c r="M94" s="14" t="str">
        <x:v>未取得全文；页面响应不能证明全文权限。</x:v>
      </x:c>
      <x:c r="N94" s="14" t="str">
        <x:v>从 DOI 或出版社页查看全文；也可使用学校图书馆或作者公开版本。</x:v>
      </x:c>
      <x:c r="O94" s="14" t="str">
        <x:v>回归中交互项、中心化、简单斜率的标准参考。第 2–3 章至今仍是最清楚的讲法</x:v>
      </x:c>
      <x:c r="P94" s="14" t="str"/>
      <x:c r="Q94" s="14" t="str"/>
      <x:c r="R94" s="17"/>
      <x:c r="S94" s="14" t="str"/>
      <x:c r="T94" s="14" t="str"/>
      <x:c r="U94" s="19" t="n">
        <x:v>46303</x:v>
      </x:c>
    </x:row>
    <x:row r="95" ht="68" customHeight="1">
      <x:c r="A95" s="14" t="str">
        <x:v>D-940EF4D8</x:v>
      </x:c>
      <x:c r="B95" s="14" t="str">
        <x:v>需人工获取</x:v>
      </x:c>
      <x:c r="C95" s="14" t="str">
        <x:v>Thinking clearly about correlations and causation: Graphical causal models for observational data</x:v>
      </x:c>
      <x:c r="D95" s="14" t="str">
        <x:v>英文</x:v>
      </x:c>
      <x:c r="E95" s="15" t="str">
        <x:v>未处理</x:v>
      </x:c>
      <x:c r="F95" s="15" t="str"/>
      <x:c r="G95" s="16" t="str">
        <x:v>https://doi.org/10.31234/osf.io/t3qub</x:v>
      </x:c>
      <x:c r="H95" s="14" t="str">
        <x:v>D02；G02；G14；M16</x:v>
      </x:c>
      <x:c r="I95" s="14" t="str">
        <x:v>Rohrer, J. M.</x:v>
      </x:c>
      <x:c r="J95" s="18" t="n">
        <x:v>2018</x:v>
      </x:c>
      <x:c r="K95" s="14" t="str">
        <x:v>研究文献</x:v>
      </x:c>
      <x:c r="L95" s="14" t="str">
        <x:v>优先</x:v>
      </x:c>
      <x:c r="M95" s="14" t="str">
        <x:v>未取得全文；页面响应不能证明全文权限。</x:v>
      </x:c>
      <x:c r="N95" s="14" t="str">
        <x:v>从 DOI 或出版社页查看全文；也可使用学校图书馆或作者公开版本。</x:v>
      </x:c>
      <x:c r="O95" s="14" t="str">
        <x:v>**心理学背景读 DAG 最好的入口**，免费获取，例子全是心理学的 链接为作者公开稿或工作论文，可能与正式发表版在年份、题名或内容上不同；引用时请核对所用版本。</x:v>
      </x:c>
      <x:c r="P95" s="14" t="str">
        <x:v>10.31234/osf.io/t3qub</x:v>
      </x:c>
      <x:c r="Q95" s="14" t="str"/>
      <x:c r="R95" s="17"/>
      <x:c r="S95" s="14" t="str"/>
      <x:c r="T95" s="14" t="str"/>
      <x:c r="U95" s="19" t="n">
        <x:v>46303</x:v>
      </x:c>
    </x:row>
    <x:row r="96" ht="68" customHeight="1">
      <x:c r="A96" s="14" t="str">
        <x:v>D-0DFB0A45</x:v>
      </x:c>
      <x:c r="B96" s="14" t="str">
        <x:v>需人工获取</x:v>
      </x:c>
      <x:c r="C96" s="14" t="str">
        <x:v>A simulation study of the number of events per variable in logistic regression analysis</x:v>
      </x:c>
      <x:c r="D96" s="14" t="str">
        <x:v>英文</x:v>
      </x:c>
      <x:c r="E96" s="15" t="str">
        <x:v>未处理</x:v>
      </x:c>
      <x:c r="F96" s="15" t="str"/>
      <x:c r="G96" s="16" t="str">
        <x:v>https://doi.org/10.1016/s0895-4356(96)00236-3</x:v>
      </x:c>
      <x:c r="H96" s="14" t="str">
        <x:v>D03</x:v>
      </x:c>
      <x:c r="I96" s="14" t="str">
        <x:v>Peduzzi, P., Concato, J., Kemper, E., Holford, T. R., &amp; Feinstein, A. R.</x:v>
      </x:c>
      <x:c r="J96" s="18" t="n">
        <x:v>1996</x:v>
      </x:c>
      <x:c r="K96" s="14" t="str">
        <x:v>研究文献</x:v>
      </x:c>
      <x:c r="L96" s="14" t="str">
        <x:v>优先</x:v>
      </x:c>
      <x:c r="M96" s="14" t="str">
        <x:v>未取得全文；页面响应不能证明全文权限。</x:v>
      </x:c>
      <x:c r="N96" s="14" t="str">
        <x:v>从 DOI 或出版社页查看全文；也可使用学校图书馆或作者公开版本。</x:v>
      </x:c>
      <x:c r="O96" s="14" t="str">
        <x:v>**EPV 规则的来源**：每个自变量至少 10 个少数类事件</x:v>
      </x:c>
      <x:c r="P96" s="14" t="str">
        <x:v>10.1016/s0895-4356(96)00236-3</x:v>
      </x:c>
      <x:c r="Q96" s="14" t="str"/>
      <x:c r="R96" s="17"/>
      <x:c r="S96" s="14" t="str"/>
      <x:c r="T96" s="14" t="str"/>
      <x:c r="U96" s="19" t="n">
        <x:v>46303</x:v>
      </x:c>
    </x:row>
    <x:row r="97" ht="68" customHeight="1">
      <x:c r="A97" s="14" t="str">
        <x:v>D-58108B05</x:v>
      </x:c>
      <x:c r="B97" s="14" t="str">
        <x:v>需人工获取</x:v>
      </x:c>
      <x:c r="C97" s="14" t="str">
        <x:v>A general method for estimating a linear structural equation system</x:v>
      </x:c>
      <x:c r="D97" s="14" t="str">
        <x:v>英文</x:v>
      </x:c>
      <x:c r="E97" s="15" t="str">
        <x:v>未处理</x:v>
      </x:c>
      <x:c r="F97" s="15" t="str"/>
      <x:c r="G97" s="16" t="str">
        <x:v>https://doi.org/10.1002/j.2333-8504.1970.tb00783.x</x:v>
      </x:c>
      <x:c r="H97" s="14" t="str">
        <x:v>D03；E01；E02；E05；E11；F01；F06；O05</x:v>
      </x:c>
      <x:c r="I97" s="14" t="str">
        <x:v>Jöreskog, K. G.</x:v>
      </x:c>
      <x:c r="J97" s="18" t="n">
        <x:v>1973</x:v>
      </x:c>
      <x:c r="K97" s="14" t="str">
        <x:v>研究文献</x:v>
      </x:c>
      <x:c r="L97" s="14" t="str">
        <x:v>优先</x:v>
      </x:c>
      <x:c r="M97" s="14" t="str">
        <x:v>未取得全文；页面响应不能证明全文权限。</x:v>
      </x:c>
      <x:c r="N97" s="14" t="str">
        <x:v>从 DOI 或出版社页查看全文；也可使用学校图书馆或作者公开版本。</x:v>
      </x:c>
      <x:c r="O97" s="14" t="str">
        <x:v>LISREL 的理论奠基</x:v>
      </x:c>
      <x:c r="P97" s="14" t="str">
        <x:v>10.1002/j.2333-8504.1970.tb00783.x</x:v>
      </x:c>
      <x:c r="Q97" s="14" t="str"/>
      <x:c r="R97" s="17"/>
      <x:c r="S97" s="14" t="str"/>
      <x:c r="T97" s="14" t="str"/>
      <x:c r="U97" s="19" t="n">
        <x:v>46303</x:v>
      </x:c>
    </x:row>
    <x:row r="98" ht="68" customHeight="1">
      <x:c r="A98" s="14" t="str">
        <x:v>D-8AA38BC0</x:v>
      </x:c>
      <x:c r="B98" s="14" t="str">
        <x:v>需人工获取</x:v>
      </x:c>
      <x:c r="C98" s="14" t="str">
        <x:v>Male-Female Wage Differentials in Urban Labor Markets</x:v>
      </x:c>
      <x:c r="D98" s="14" t="str">
        <x:v>英文</x:v>
      </x:c>
      <x:c r="E98" s="15" t="str">
        <x:v>未处理</x:v>
      </x:c>
      <x:c r="F98" s="15" t="str"/>
      <x:c r="G98" s="16" t="str">
        <x:v>https://doi.org/10.2307/2525981</x:v>
      </x:c>
      <x:c r="H98" s="14" t="str">
        <x:v>D03；E01；E02；O05</x:v>
      </x:c>
      <x:c r="I98" s="14" t="str">
        <x:v>Ronald Oaxaca</x:v>
      </x:c>
      <x:c r="J98" s="18" t="n">
        <x:v>1973</x:v>
      </x:c>
      <x:c r="K98" s="14" t="str">
        <x:v>研究文献</x:v>
      </x:c>
      <x:c r="L98" s="14" t="str">
        <x:v>优先</x:v>
      </x:c>
      <x:c r="M98" s="14" t="str">
        <x:v>未取得全文；页面响应不能证明全文权限。</x:v>
      </x:c>
      <x:c r="N98" s="14" t="str">
        <x:v>从 DOI 或出版社页查看全文；也可使用学校图书馆或作者公开版本。</x:v>
      </x:c>
      <x:c r="O98" s="14" t="str">
        <x:v>群体工资差距分解的经典原文之一。</x:v>
      </x:c>
      <x:c r="P98" s="14" t="str">
        <x:v>10.2307/2525981</x:v>
      </x:c>
      <x:c r="Q98" s="14" t="str"/>
      <x:c r="R98" s="17"/>
      <x:c r="S98" s="14" t="str"/>
      <x:c r="T98" s="14" t="str"/>
      <x:c r="U98" s="19" t="n">
        <x:v>46303</x:v>
      </x:c>
    </x:row>
    <x:row r="99" ht="68" customHeight="1">
      <x:c r="A99" s="14" t="str">
        <x:v>D-3D046DE0</x:v>
      </x:c>
      <x:c r="B99" s="14" t="str">
        <x:v>需人工获取</x:v>
      </x:c>
      <x:c r="C99" s="14" t="str">
        <x:v>Path analysis: Sociological examples</x:v>
      </x:c>
      <x:c r="D99" s="14" t="str">
        <x:v>英文</x:v>
      </x:c>
      <x:c r="E99" s="15" t="str">
        <x:v>未处理</x:v>
      </x:c>
      <x:c r="F99" s="15" t="str"/>
      <x:c r="G99" s="16" t="str">
        <x:v>https://doi.org/10.1086/224256</x:v>
      </x:c>
      <x:c r="H99" s="14" t="str">
        <x:v>D03；E01；E02；O05</x:v>
      </x:c>
      <x:c r="I99" s="14" t="str">
        <x:v>Duncan, O. D.</x:v>
      </x:c>
      <x:c r="J99" s="18" t="n">
        <x:v>1966</x:v>
      </x:c>
      <x:c r="K99" s="14" t="str">
        <x:v>研究文献</x:v>
      </x:c>
      <x:c r="L99" s="14" t="str">
        <x:v>优先</x:v>
      </x:c>
      <x:c r="M99" s="14" t="str">
        <x:v>未取得全文；页面响应不能证明全文权限。</x:v>
      </x:c>
      <x:c r="N99" s="14" t="str">
        <x:v>从 DOI 或出版社页查看全文；也可使用学校图书馆或作者公开版本。</x:v>
      </x:c>
      <x:c r="O99" s="14" t="str">
        <x:v>把路径分析引入社会学的那篇，地位获得模型的起点</x:v>
      </x:c>
      <x:c r="P99" s="14" t="str">
        <x:v>10.1086/224256</x:v>
      </x:c>
      <x:c r="Q99" s="14" t="str"/>
      <x:c r="R99" s="17"/>
      <x:c r="S99" s="14" t="str"/>
      <x:c r="T99" s="14" t="str"/>
      <x:c r="U99" s="19" t="n">
        <x:v>46303</x:v>
      </x:c>
    </x:row>
    <x:row r="100" ht="68" customHeight="1">
      <x:c r="A100" s="14" t="str">
        <x:v>D-220D9D7A</x:v>
      </x:c>
      <x:c r="B100" s="14" t="str">
        <x:v>需人工获取</x:v>
      </x:c>
      <x:c r="C100" s="14" t="str">
        <x:v>Rethinking how family researchers model infrequent outcomes: A tutorial on count regression and zero-inflated models</x:v>
      </x:c>
      <x:c r="D100" s="14" t="str">
        <x:v>英文</x:v>
      </x:c>
      <x:c r="E100" s="15" t="str">
        <x:v>未处理</x:v>
      </x:c>
      <x:c r="F100" s="15" t="str"/>
      <x:c r="G100" s="16" t="str">
        <x:v>https://doi.org/10.1037/0893-3200.21.4.726</x:v>
      </x:c>
      <x:c r="H100" s="14" t="str">
        <x:v>D04</x:v>
      </x:c>
      <x:c r="I100" s="14" t="str">
        <x:v>Atkins, D. C., &amp; Gallop, R. J.</x:v>
      </x:c>
      <x:c r="J100" s="18" t="n">
        <x:v>2007</x:v>
      </x:c>
      <x:c r="K100" s="14" t="str">
        <x:v>研究文献</x:v>
      </x:c>
      <x:c r="L100" s="14" t="str">
        <x:v>优先</x:v>
      </x:c>
      <x:c r="M100" s="14" t="str">
        <x:v>未取得全文；页面响应不能证明全文权限。</x:v>
      </x:c>
      <x:c r="N100" s="14" t="str">
        <x:v>从 DOI 或出版社页查看全文；也可使用学校图书馆或作者公开版本。</x:v>
      </x:c>
      <x:c r="O100" s="14" t="str">
        <x:v>**写给心理学的计数模型教程**，例子是家庭研究</x:v>
      </x:c>
      <x:c r="P100" s="14" t="str">
        <x:v>10.1037/0893-3200.21.4.726</x:v>
      </x:c>
      <x:c r="Q100" s="14" t="str"/>
      <x:c r="R100" s="17"/>
      <x:c r="S100" s="14" t="str"/>
      <x:c r="T100" s="14" t="str"/>
      <x:c r="U100" s="19" t="n">
        <x:v>46303</x:v>
      </x:c>
    </x:row>
    <x:row r="101" ht="68" customHeight="1">
      <x:c r="A101" s="14" t="str">
        <x:v>D-CC1C7AED</x:v>
      </x:c>
      <x:c r="B101" s="14" t="str">
        <x:v>需人工获取</x:v>
      </x:c>
      <x:c r="C101" s="14" t="str">
        <x:v>Zero-inflated Poisson regression, with an application to defects in manufacturing</x:v>
      </x:c>
      <x:c r="D101" s="14" t="str">
        <x:v>英文</x:v>
      </x:c>
      <x:c r="E101" s="15" t="str">
        <x:v>未处理</x:v>
      </x:c>
      <x:c r="F101" s="15" t="str"/>
      <x:c r="G101" s="16" t="str">
        <x:v>https://doi.org/10.2307/1269547</x:v>
      </x:c>
      <x:c r="H101" s="14" t="str">
        <x:v>D04</x:v>
      </x:c>
      <x:c r="I101" s="14" t="str">
        <x:v>Lambert, D.</x:v>
      </x:c>
      <x:c r="J101" s="18" t="n">
        <x:v>1992</x:v>
      </x:c>
      <x:c r="K101" s="14" t="str">
        <x:v>研究文献</x:v>
      </x:c>
      <x:c r="L101" s="14" t="str">
        <x:v>优先</x:v>
      </x:c>
      <x:c r="M101" s="14" t="str">
        <x:v>未取得全文；页面响应不能证明全文权限。</x:v>
      </x:c>
      <x:c r="N101" s="14" t="str">
        <x:v>从 DOI 或出版社页查看全文；也可使用学校图书馆或作者公开版本。</x:v>
      </x:c>
      <x:c r="O101" s="14" t="str">
        <x:v>零膨胀模型的原始文献</x:v>
      </x:c>
      <x:c r="P101" s="14" t="str">
        <x:v>10.2307/1269547</x:v>
      </x:c>
      <x:c r="Q101" s="14" t="str"/>
      <x:c r="R101" s="17"/>
      <x:c r="S101" s="14" t="str"/>
      <x:c r="T101" s="14" t="str"/>
      <x:c r="U101" s="19" t="n">
        <x:v>46303</x:v>
      </x:c>
    </x:row>
    <x:row r="102" ht="68" customHeight="1">
      <x:c r="A102" s="14" t="str">
        <x:v>D-20EFBB1E</x:v>
      </x:c>
      <x:c r="B102" s="14" t="str">
        <x:v>需人工获取</x:v>
      </x:c>
      <x:c r="C102" s="14" t="str">
        <x:v>The moderator–mediator variable distinction in social psychological research</x:v>
      </x:c>
      <x:c r="D102" s="14" t="str">
        <x:v>英文</x:v>
      </x:c>
      <x:c r="E102" s="15" t="str">
        <x:v>未处理</x:v>
      </x:c>
      <x:c r="F102" s="15" t="str"/>
      <x:c r="G102" s="16" t="str">
        <x:v>https://doi.org/10.1037/0022-3514.51.6.1173</x:v>
      </x:c>
      <x:c r="H102" s="14" t="str">
        <x:v>D05</x:v>
      </x:c>
      <x:c r="I102" s="14" t="str">
        <x:v>Baron, R. M., &amp; Kenny, D. A.</x:v>
      </x:c>
      <x:c r="J102" s="18" t="n">
        <x:v>1986</x:v>
      </x:c>
      <x:c r="K102" s="14" t="str">
        <x:v>研究文献</x:v>
      </x:c>
      <x:c r="L102" s="14" t="str">
        <x:v>优先</x:v>
      </x:c>
      <x:c r="M102" s="14" t="str">
        <x:v>未取得全文；页面响应不能证明全文权限。</x:v>
      </x:c>
      <x:c r="N102" s="14" t="str">
        <x:v>从 DOI 或出版社页查看全文；也可使用学校图书馆或作者公开版本。</x:v>
      </x:c>
      <x:c r="O102" s="14" t="str">
        <x:v>被引超过十万次的那一篇。**它的四步法今天已不推荐**，但你必须知道它说了什么，因为审稿人会提</x:v>
      </x:c>
      <x:c r="P102" s="14" t="str">
        <x:v>10.1037/0022-3514.51.6.1173</x:v>
      </x:c>
      <x:c r="Q102" s="14" t="str"/>
      <x:c r="R102" s="17"/>
      <x:c r="S102" s="14" t="str"/>
      <x:c r="T102" s="14" t="str"/>
      <x:c r="U102" s="19" t="n">
        <x:v>46303</x:v>
      </x:c>
    </x:row>
    <x:row r="103" ht="68" customHeight="1">
      <x:c r="A103" s="14" t="str">
        <x:v>D-1A137749</x:v>
      </x:c>
      <x:c r="B103" s="14" t="str">
        <x:v>需人工获取</x:v>
      </x:c>
      <x:c r="C103" s="14" t="str">
        <x:v>A general approach to causal mediation analysis</x:v>
      </x:c>
      <x:c r="D103" s="14" t="str">
        <x:v>英文</x:v>
      </x:c>
      <x:c r="E103" s="15" t="str">
        <x:v>未处理</x:v>
      </x:c>
      <x:c r="F103" s="15" t="str"/>
      <x:c r="G103" s="16" t="str">
        <x:v>https://doi.org/10.1037/a0020761</x:v>
      </x:c>
      <x:c r="H103" s="14" t="str">
        <x:v>D05；G10</x:v>
      </x:c>
      <x:c r="I103" s="14" t="str">
        <x:v>Imai, K., Keele, L., &amp; Tingley, D.</x:v>
      </x:c>
      <x:c r="J103" s="18" t="n">
        <x:v>2010</x:v>
      </x:c>
      <x:c r="K103" s="14" t="str">
        <x:v>研究文献</x:v>
      </x:c>
      <x:c r="L103" s="14" t="str">
        <x:v>优先</x:v>
      </x:c>
      <x:c r="M103" s="14" t="str">
        <x:v>未取得全文；页面响应不能证明全文权限。</x:v>
      </x:c>
      <x:c r="N103" s="14" t="str">
        <x:v>从 DOI 或出版社页查看全文；也可使用学校图书馆或作者公开版本。</x:v>
      </x:c>
      <x:c r="O103" s="14" t="str">
        <x:v>因果中介的框架与 R 的 mediation 包，含敏感性分析</x:v>
      </x:c>
      <x:c r="P103" s="14" t="str">
        <x:v>10.1037/a0020761</x:v>
      </x:c>
      <x:c r="Q103" s="14" t="str"/>
      <x:c r="R103" s="17"/>
      <x:c r="S103" s="14" t="str"/>
      <x:c r="T103" s="14" t="str"/>
      <x:c r="U103" s="19" t="n">
        <x:v>46303</x:v>
      </x:c>
    </x:row>
    <x:row r="104" ht="68" customHeight="1">
      <x:c r="A104" s="14" t="str">
        <x:v>D-F807852D</x:v>
      </x:c>
      <x:c r="B104" s="14" t="str">
        <x:v>需人工获取</x:v>
      </x:c>
      <x:c r="C104" s="14" t="str">
        <x:v>Spotlights, floodlights, and the magic number zero</x:v>
      </x:c>
      <x:c r="D104" s="14" t="str">
        <x:v>英文</x:v>
      </x:c>
      <x:c r="E104" s="15" t="str">
        <x:v>未处理</x:v>
      </x:c>
      <x:c r="F104" s="15" t="str"/>
      <x:c r="G104" s="16" t="str">
        <x:v>https://doi.org/10.1509/jmr.12.0420</x:v>
      </x:c>
      <x:c r="H104" s="14" t="str">
        <x:v>D06</x:v>
      </x:c>
      <x:c r="I104" s="14" t="str">
        <x:v>Spiller, S. A., Fitzsimons, G. J., Lynch, J. G., &amp; McClelland, G. H.</x:v>
      </x:c>
      <x:c r="J104" s="18" t="n">
        <x:v>2013</x:v>
      </x:c>
      <x:c r="K104" s="14" t="str">
        <x:v>研究文献</x:v>
      </x:c>
      <x:c r="L104" s="14" t="str">
        <x:v>优先</x:v>
      </x:c>
      <x:c r="M104" s="14" t="str">
        <x:v>未取得全文；页面响应不能证明全文权限。</x:v>
      </x:c>
      <x:c r="N104" s="14" t="str">
        <x:v>从 DOI 或出版社页查看全文；也可使用学校图书馆或作者公开版本。</x:v>
      </x:c>
      <x:c r="O104" s="14" t="str">
        <x:v>用 spotlight/floodlight 的比喻讲清楚为什么 J-N 优于三点法</x:v>
      </x:c>
      <x:c r="P104" s="14" t="str">
        <x:v>10.1509/jmr.12.0420</x:v>
      </x:c>
      <x:c r="Q104" s="14" t="str"/>
      <x:c r="R104" s="17"/>
      <x:c r="S104" s="14" t="str"/>
      <x:c r="T104" s="14" t="str"/>
      <x:c r="U104" s="19" t="n">
        <x:v>46303</x:v>
      </x:c>
    </x:row>
    <x:row r="105" ht="68" customHeight="1">
      <x:c r="A105" s="14" t="str">
        <x:v>D-EF6F438E</x:v>
      </x:c>
      <x:c r="B105" s="14" t="str">
        <x:v>需人工获取</x:v>
      </x:c>
      <x:c r="C105" s="14" t="str">
        <x:v>Addressing moderated mediation hypotheses: Theory, methods, and prescriptions</x:v>
      </x:c>
      <x:c r="D105" s="14" t="str">
        <x:v>英文</x:v>
      </x:c>
      <x:c r="E105" s="15" t="str">
        <x:v>未处理</x:v>
      </x:c>
      <x:c r="F105" s="15" t="str"/>
      <x:c r="G105" s="16" t="str">
        <x:v>https://doi.org/10.1080/00273170701341316</x:v>
      </x:c>
      <x:c r="H105" s="14" t="str">
        <x:v>D07</x:v>
      </x:c>
      <x:c r="I105" s="14" t="str">
        <x:v>Preacher, K. J., Rucker, D. D., &amp; Hayes, A. F.</x:v>
      </x:c>
      <x:c r="J105" s="18" t="n">
        <x:v>2007</x:v>
      </x:c>
      <x:c r="K105" s="14" t="str">
        <x:v>研究文献</x:v>
      </x:c>
      <x:c r="L105" s="14" t="str">
        <x:v>优先</x:v>
      </x:c>
      <x:c r="M105" s="14" t="str">
        <x:v>未取得全文；页面响应不能证明全文权限。</x:v>
      </x:c>
      <x:c r="N105" s="14" t="str">
        <x:v>从 DOI 或出版社页查看全文；也可使用学校图书馆或作者公开版本。</x:v>
      </x:c>
      <x:c r="O105" s="14" t="str">
        <x:v>有调节的中介的现代框架</x:v>
      </x:c>
      <x:c r="P105" s="14" t="str">
        <x:v>10.1080/00273170701341316</x:v>
      </x:c>
      <x:c r="Q105" s="14" t="str"/>
      <x:c r="R105" s="17"/>
      <x:c r="S105" s="14" t="str"/>
      <x:c r="T105" s="14" t="str"/>
      <x:c r="U105" s="19" t="n">
        <x:v>46303</x:v>
      </x:c>
    </x:row>
    <x:row r="106" ht="68" customHeight="1">
      <x:c r="A106" s="14" t="str">
        <x:v>D-F3A70B63</x:v>
      </x:c>
      <x:c r="B106" s="14" t="str">
        <x:v>需人工获取</x:v>
      </x:c>
      <x:c r="C106" s="14" t="str">
        <x:v>An index and test of linear moderated mediation</x:v>
      </x:c>
      <x:c r="D106" s="14" t="str">
        <x:v>英文</x:v>
      </x:c>
      <x:c r="E106" s="15" t="str">
        <x:v>未处理</x:v>
      </x:c>
      <x:c r="F106" s="15" t="str"/>
      <x:c r="G106" s="16" t="str">
        <x:v>https://doi.org/10.1080/00273171.2014.962683</x:v>
      </x:c>
      <x:c r="H106" s="14" t="str">
        <x:v>D07</x:v>
      </x:c>
      <x:c r="I106" s="14" t="str">
        <x:v>Hayes, A. F.</x:v>
      </x:c>
      <x:c r="J106" s="18" t="n">
        <x:v>2015</x:v>
      </x:c>
      <x:c r="K106" s="14" t="str">
        <x:v>研究文献</x:v>
      </x:c>
      <x:c r="L106" s="14" t="str">
        <x:v>优先</x:v>
      </x:c>
      <x:c r="M106" s="14" t="str">
        <x:v>未取得全文；页面响应不能证明全文权限。</x:v>
      </x:c>
      <x:c r="N106" s="14" t="str">
        <x:v>从 DOI 或出版社页查看全文；也可使用学校图书馆或作者公开版本。</x:v>
      </x:c>
      <x:c r="O106" s="14" t="str">
        <x:v>**调节的中介指数的来源**——这才是该检验的量，不是分组比较显著性</x:v>
      </x:c>
      <x:c r="P106" s="14" t="str">
        <x:v>10.1080/00273171.2014.962683</x:v>
      </x:c>
      <x:c r="Q106" s="14" t="str"/>
      <x:c r="R106" s="17"/>
      <x:c r="S106" s="14" t="str"/>
      <x:c r="T106" s="14" t="str"/>
      <x:c r="U106" s="19" t="n">
        <x:v>46303</x:v>
      </x:c>
    </x:row>
    <x:row r="107" ht="68" customHeight="1">
      <x:c r="A107" s="14" t="str">
        <x:v>D-2EA9F001</x:v>
      </x:c>
      <x:c r="B107" s="14" t="str">
        <x:v>需人工获取</x:v>
      </x:c>
      <x:c r="C107" s="14" t="str">
        <x:v>Regularization and variable selection via the elastic net</x:v>
      </x:c>
      <x:c r="D107" s="14" t="str">
        <x:v>英文</x:v>
      </x:c>
      <x:c r="E107" s="15" t="str">
        <x:v>未处理</x:v>
      </x:c>
      <x:c r="F107" s="15" t="str"/>
      <x:c r="G107" s="16" t="str">
        <x:v>https://doi.org/10.1111/j.1467-9868.2005.00503.x</x:v>
      </x:c>
      <x:c r="H107" s="14" t="str">
        <x:v>D08</x:v>
      </x:c>
      <x:c r="I107" s="14" t="str">
        <x:v>Zou, H., &amp; Hastie, T.</x:v>
      </x:c>
      <x:c r="J107" s="18" t="n">
        <x:v>2005</x:v>
      </x:c>
      <x:c r="K107" s="14" t="str">
        <x:v>研究文献</x:v>
      </x:c>
      <x:c r="L107" s="14" t="str">
        <x:v>优先</x:v>
      </x:c>
      <x:c r="M107" s="14" t="str">
        <x:v>未取得全文；页面响应不能证明全文权限。</x:v>
      </x:c>
      <x:c r="N107" s="14" t="str">
        <x:v>从 DOI 或出版社页查看全文；也可使用学校图书馆或作者公开版本。</x:v>
      </x:c>
      <x:c r="O107" s="14" t="str">
        <x:v>弹性网：处理共线变量组</x:v>
      </x:c>
      <x:c r="P107" s="14" t="str">
        <x:v>10.1111/j.1467-9868.2005.00503.x</x:v>
      </x:c>
      <x:c r="Q107" s="14" t="str"/>
      <x:c r="R107" s="17"/>
      <x:c r="S107" s="14" t="str"/>
      <x:c r="T107" s="14" t="str"/>
      <x:c r="U107" s="19" t="n">
        <x:v>46303</x:v>
      </x:c>
    </x:row>
    <x:row r="108" ht="68" customHeight="1">
      <x:c r="A108" s="14" t="str">
        <x:v>D-6A0BB692</x:v>
      </x:c>
      <x:c r="B108" s="14" t="str">
        <x:v>需人工获取</x:v>
      </x:c>
      <x:c r="C108" s="14" t="str">
        <x:v>Generalized Additive Models</x:v>
      </x:c>
      <x:c r="D108" s="14" t="str">
        <x:v>英文</x:v>
      </x:c>
      <x:c r="E108" s="15" t="str">
        <x:v>未处理</x:v>
      </x:c>
      <x:c r="F108" s="15" t="str"/>
      <x:c r="G108" s="16" t="str">
        <x:v>https://doi.org/10.1214/ss/1177013604</x:v>
      </x:c>
      <x:c r="H108" s="14" t="str">
        <x:v>D08；D11</x:v>
      </x:c>
      <x:c r="I108" s="14" t="str">
        <x:v>Trevor Hastie; Robert Tibshirani</x:v>
      </x:c>
      <x:c r="J108" s="18" t="n">
        <x:v>1986</x:v>
      </x:c>
      <x:c r="K108" s="14" t="str">
        <x:v>研究文献</x:v>
      </x:c>
      <x:c r="L108" s="14" t="str">
        <x:v>优先</x:v>
      </x:c>
      <x:c r="M108" s="14" t="str">
        <x:v>未取得全文；页面响应不能证明全文权限。</x:v>
      </x:c>
      <x:c r="N108" s="14" t="str">
        <x:v>从 DOI 或出版社页查看全文；也可使用学校图书馆或作者公开版本。</x:v>
      </x:c>
      <x:c r="O108" s="14" t="str">
        <x:v>Hastie 与 Tibshirani 对广义加性模型的早期系统阐述。</x:v>
      </x:c>
      <x:c r="P108" s="14" t="str">
        <x:v>10.1214/ss/1177013604</x:v>
      </x:c>
      <x:c r="Q108" s="14" t="str"/>
      <x:c r="R108" s="17"/>
      <x:c r="S108" s="14" t="str"/>
      <x:c r="T108" s="14" t="str"/>
      <x:c r="U108" s="19" t="n">
        <x:v>46303</x:v>
      </x:c>
    </x:row>
    <x:row r="109" ht="68" customHeight="1">
      <x:c r="A109" s="14" t="str">
        <x:v>D-3DE60651</x:v>
      </x:c>
      <x:c r="B109" s="14" t="str">
        <x:v>需人工获取</x:v>
      </x:c>
      <x:c r="C109" s="14" t="str">
        <x:v>Regression shrinkage and selection via the lasso</x:v>
      </x:c>
      <x:c r="D109" s="14" t="str">
        <x:v>英文</x:v>
      </x:c>
      <x:c r="E109" s="15" t="str">
        <x:v>未处理</x:v>
      </x:c>
      <x:c r="F109" s="15" t="str"/>
      <x:c r="G109" s="16" t="str">
        <x:v>https://doi.org/10.1111/j.2517-6161.1996.tb02080.x</x:v>
      </x:c>
      <x:c r="H109" s="14" t="str">
        <x:v>D08；D11</x:v>
      </x:c>
      <x:c r="I109" s="14" t="str">
        <x:v>Tibshirani, R.</x:v>
      </x:c>
      <x:c r="J109" s="18" t="n">
        <x:v>1996</x:v>
      </x:c>
      <x:c r="K109" s="14" t="str">
        <x:v>研究文献</x:v>
      </x:c>
      <x:c r="L109" s="14" t="str">
        <x:v>优先</x:v>
      </x:c>
      <x:c r="M109" s="14" t="str">
        <x:v>未取得全文；页面响应不能证明全文权限。</x:v>
      </x:c>
      <x:c r="N109" s="14" t="str">
        <x:v>从 DOI 或出版社页查看全文；也可使用学校图书馆或作者公开版本。</x:v>
      </x:c>
      <x:c r="O109" s="14" t="str">
        <x:v>Lasso 的原始文献</x:v>
      </x:c>
      <x:c r="P109" s="14" t="str">
        <x:v>10.1111/j.2517-6161.1996.tb02080.x</x:v>
      </x:c>
      <x:c r="Q109" s="14" t="str"/>
      <x:c r="R109" s="17"/>
      <x:c r="S109" s="14" t="str"/>
      <x:c r="T109" s="14" t="str"/>
      <x:c r="U109" s="19" t="n">
        <x:v>46303</x:v>
      </x:c>
    </x:row>
    <x:row r="110" ht="68" customHeight="1">
      <x:c r="A110" s="14" t="str">
        <x:v>D-EA154459</x:v>
      </x:c>
      <x:c r="B110" s="14" t="str">
        <x:v>需人工获取</x:v>
      </x:c>
      <x:c r="C110" s="14" t="str">
        <x:v>Quantile regression in the study of developmental sciences</x:v>
      </x:c>
      <x:c r="D110" s="14" t="str">
        <x:v>英文</x:v>
      </x:c>
      <x:c r="E110" s="15" t="str">
        <x:v>未处理</x:v>
      </x:c>
      <x:c r="F110" s="15" t="str"/>
      <x:c r="G110" s="16" t="str">
        <x:v>https://doi.org/10.1111/cdev.12190</x:v>
      </x:c>
      <x:c r="H110" s="14" t="str">
        <x:v>D09</x:v>
      </x:c>
      <x:c r="I110" s="14" t="str">
        <x:v>Petscher, Y., &amp; Logan, J. A. R.</x:v>
      </x:c>
      <x:c r="J110" s="18" t="n">
        <x:v>2014</x:v>
      </x:c>
      <x:c r="K110" s="14" t="str">
        <x:v>研究文献</x:v>
      </x:c>
      <x:c r="L110" s="14" t="str">
        <x:v>优先</x:v>
      </x:c>
      <x:c r="M110" s="14" t="str">
        <x:v>未取得全文；页面响应不能证明全文权限。</x:v>
      </x:c>
      <x:c r="N110" s="14" t="str">
        <x:v>从 DOI 或出版社页查看全文；也可使用学校图书馆或作者公开版本。</x:v>
      </x:c>
      <x:c r="O110" s="14" t="str">
        <x:v>**写给发展心理学的分位数回归教程**</x:v>
      </x:c>
      <x:c r="P110" s="14" t="str">
        <x:v>10.1111/cdev.12190</x:v>
      </x:c>
      <x:c r="Q110" s="14" t="str"/>
      <x:c r="R110" s="17"/>
      <x:c r="S110" s="14" t="str"/>
      <x:c r="T110" s="14" t="str"/>
      <x:c r="U110" s="19" t="n">
        <x:v>46303</x:v>
      </x:c>
    </x:row>
    <x:row r="111" ht="68" customHeight="1">
      <x:c r="A111" s="14" t="str">
        <x:v>D-2FFFB44E</x:v>
      </x:c>
      <x:c r="B111" s="14" t="str">
        <x:v>需人工获取</x:v>
      </x:c>
      <x:c r="C111" s="14" t="str">
        <x:v>Regression quantiles</x:v>
      </x:c>
      <x:c r="D111" s="14" t="str">
        <x:v>英文</x:v>
      </x:c>
      <x:c r="E111" s="15" t="str">
        <x:v>未处理</x:v>
      </x:c>
      <x:c r="F111" s="15" t="str"/>
      <x:c r="G111" s="16" t="str">
        <x:v>https://doi.org/10.2307/1913643</x:v>
      </x:c>
      <x:c r="H111" s="14" t="str">
        <x:v>D09</x:v>
      </x:c>
      <x:c r="I111" s="14" t="str">
        <x:v>Koenker, R., &amp; Bassett, G.</x:v>
      </x:c>
      <x:c r="J111" s="18" t="n">
        <x:v>1978</x:v>
      </x:c>
      <x:c r="K111" s="14" t="str">
        <x:v>研究文献</x:v>
      </x:c>
      <x:c r="L111" s="14" t="str">
        <x:v>优先</x:v>
      </x:c>
      <x:c r="M111" s="14" t="str">
        <x:v>未取得全文；页面响应不能证明全文权限。</x:v>
      </x:c>
      <x:c r="N111" s="14" t="str">
        <x:v>从 DOI 或出版社页查看全文；也可使用学校图书馆或作者公开版本。</x:v>
      </x:c>
      <x:c r="O111" s="14" t="str">
        <x:v>分位数回归的原始文献</x:v>
      </x:c>
      <x:c r="P111" s="14" t="str">
        <x:v>10.2307/1913643</x:v>
      </x:c>
      <x:c r="Q111" s="14" t="str"/>
      <x:c r="R111" s="17"/>
      <x:c r="S111" s="14" t="str"/>
      <x:c r="T111" s="14" t="str"/>
      <x:c r="U111" s="19" t="n">
        <x:v>46303</x:v>
      </x:c>
    </x:row>
    <x:row r="112" ht="68" customHeight="1">
      <x:c r="A112" s="14" t="str">
        <x:v>D-19D01A19</x:v>
      </x:c>
      <x:c r="B112" s="14" t="str">
        <x:v>需人工获取</x:v>
      </x:c>
      <x:c r="C112" s="14" t="str">
        <x:v>Detecting outliers: Do not use standard deviation around the mean, use absolute deviation around the median</x:v>
      </x:c>
      <x:c r="D112" s="14" t="str">
        <x:v>英文</x:v>
      </x:c>
      <x:c r="E112" s="15" t="str">
        <x:v>未处理</x:v>
      </x:c>
      <x:c r="F112" s="15" t="str"/>
      <x:c r="G112" s="16" t="str">
        <x:v>https://doi.org/10.1016/j.jesp.2013.03.013</x:v>
      </x:c>
      <x:c r="H112" s="14" t="str">
        <x:v>D09；N03</x:v>
      </x:c>
      <x:c r="I112" s="14" t="str">
        <x:v>Leys, C., Ley, C., Klein, O., Bernard, P., &amp; Licata, L.</x:v>
      </x:c>
      <x:c r="J112" s="18" t="n">
        <x:v>2013</x:v>
      </x:c>
      <x:c r="K112" s="14" t="str">
        <x:v>研究文献</x:v>
      </x:c>
      <x:c r="L112" s="14" t="str">
        <x:v>优先</x:v>
      </x:c>
      <x:c r="M112" s="14" t="str">
        <x:v>未取得全文；页面响应不能证明全文权限。</x:v>
      </x:c>
      <x:c r="N112" s="14" t="str">
        <x:v>从 DOI 或出版社页查看全文；也可使用学校图书馆或作者公开版本。</x:v>
      </x:c>
      <x:c r="O112" s="14" t="str">
        <x:v>离群值识别的稳健做法（MAD 法）</x:v>
      </x:c>
      <x:c r="P112" s="14" t="str">
        <x:v>10.1016/j.jesp.2013.03.013</x:v>
      </x:c>
      <x:c r="Q112" s="14" t="str"/>
      <x:c r="R112" s="17"/>
      <x:c r="S112" s="14" t="str"/>
      <x:c r="T112" s="14" t="str"/>
      <x:c r="U112" s="19" t="n">
        <x:v>46303</x:v>
      </x:c>
    </x:row>
    <x:row r="113" ht="68" customHeight="1">
      <x:c r="A113" s="14" t="str">
        <x:v>D-0994D9A6</x:v>
      </x:c>
      <x:c r="B113" s="14" t="str">
        <x:v>需人工获取</x:v>
      </x:c>
      <x:c r="C113" s="14" t="str">
        <x:v>Unconditional Quantile Regressions</x:v>
      </x:c>
      <x:c r="D113" s="14" t="str">
        <x:v>英文</x:v>
      </x:c>
      <x:c r="E113" s="15" t="str">
        <x:v>未处理</x:v>
      </x:c>
      <x:c r="F113" s="15" t="str"/>
      <x:c r="G113" s="16" t="str">
        <x:v>https://doi.org/10.3982/ECTA6822</x:v>
      </x:c>
      <x:c r="H113" s="14" t="str">
        <x:v>D10；D11；J01；O05</x:v>
      </x:c>
      <x:c r="I113" s="14" t="str">
        <x:v>Sergio Firpo; Nicole M. Fortin; Thomas Lemieux</x:v>
      </x:c>
      <x:c r="J113" s="18" t="n">
        <x:v>2009</x:v>
      </x:c>
      <x:c r="K113" s="14" t="str">
        <x:v>研究文献</x:v>
      </x:c>
      <x:c r="L113" s="14" t="str">
        <x:v>优先</x:v>
      </x:c>
      <x:c r="M113" s="14" t="str">
        <x:v>未取得全文；页面响应不能证明全文权限。</x:v>
      </x:c>
      <x:c r="N113" s="14" t="str">
        <x:v>从 DOI 或出版社页查看全文；也可使用学校图书馆或作者公开版本。</x:v>
      </x:c>
      <x:c r="O113" s="14" t="str">
        <x:v>无条件分位数回归与再中心化影响函数的代表性原文。</x:v>
      </x:c>
      <x:c r="P113" s="14" t="str">
        <x:v>10.3982/ECTA6822</x:v>
      </x:c>
      <x:c r="Q113" s="14" t="str"/>
      <x:c r="R113" s="17"/>
      <x:c r="S113" s="14" t="str"/>
      <x:c r="T113" s="14" t="str"/>
      <x:c r="U113" s="19" t="n">
        <x:v>46303</x:v>
      </x:c>
    </x:row>
    <x:row r="114" ht="68" customHeight="1">
      <x:c r="A114" s="14" t="str">
        <x:v>D-03EE9758</x:v>
      </x:c>
      <x:c r="B114" s="14" t="str">
        <x:v>需人工获取</x:v>
      </x:c>
      <x:c r="C114" s="14" t="str">
        <x:v>A New Framework for Estimation of Unconditional Quantile Treatment Effects: The Residualized Quantile Regression (RQR) Model</x:v>
      </x:c>
      <x:c r="D114" s="14" t="str">
        <x:v>英文</x:v>
      </x:c>
      <x:c r="E114" s="15" t="str">
        <x:v>未处理</x:v>
      </x:c>
      <x:c r="F114" s="15" t="str"/>
      <x:c r="G114" s="16" t="str">
        <x:v>https://doi.org/10.1177/00811750261450139</x:v>
      </x:c>
      <x:c r="H114" s="14" t="str">
        <x:v>D10；O04</x:v>
      </x:c>
      <x:c r="I114" s="14" t="str">
        <x:v>Nicolai Borgen; Andreas Haupt; Øyvind Wiborg</x:v>
      </x:c>
      <x:c r="J114" s="18" t="n">
        <x:v>2026</x:v>
      </x:c>
      <x:c r="K114" s="14" t="str">
        <x:v>研究文献</x:v>
      </x:c>
      <x:c r="L114" s="14" t="str">
        <x:v>优先</x:v>
      </x:c>
      <x:c r="M114" s="14" t="str">
        <x:v>未取得全文；页面响应不能证明全文权限。</x:v>
      </x:c>
      <x:c r="N114" s="14" t="str">
        <x:v>从 DOI 或出版社页查看全文；也可使用学校图书馆或作者公开版本。</x:v>
      </x:c>
      <x:c r="O114" s="14" t="str">
        <x:v>残差化分位数回归的新框架；须分别核对残差独立等识别条件。</x:v>
      </x:c>
      <x:c r="P114" s="14" t="str">
        <x:v>10.1177/00811750261450139</x:v>
      </x:c>
      <x:c r="Q114" s="14" t="str"/>
      <x:c r="R114" s="17"/>
      <x:c r="S114" s="14" t="str"/>
      <x:c r="T114" s="14" t="str"/>
      <x:c r="U114" s="19" t="n">
        <x:v>46303</x:v>
      </x:c>
    </x:row>
    <x:row r="115" ht="68" customHeight="1">
      <x:c r="A115" s="14" t="str">
        <x:v>D-156AE3C9</x:v>
      </x:c>
      <x:c r="B115" s="14" t="str">
        <x:v>需人工获取</x:v>
      </x:c>
      <x:c r="C115" s="14" t="str">
        <x:v>Counterfactual Slopes and Their Applications in Social Stratification</x:v>
      </x:c>
      <x:c r="D115" s="14" t="str">
        <x:v>英文</x:v>
      </x:c>
      <x:c r="E115" s="15" t="str">
        <x:v>未处理</x:v>
      </x:c>
      <x:c r="F115" s="15" t="str"/>
      <x:c r="G115" s="16" t="str">
        <x:v>https://doi.org/10.1177/00811750251340392</x:v>
      </x:c>
      <x:c r="H115" s="14" t="str">
        <x:v>D10；O04</x:v>
      </x:c>
      <x:c r="I115" s="14" t="str">
        <x:v>Ang Yu; Jiwei Zhao</x:v>
      </x:c>
      <x:c r="J115" s="18" t="n">
        <x:v>2025</x:v>
      </x:c>
      <x:c r="K115" s="14" t="str">
        <x:v>研究文献</x:v>
      </x:c>
      <x:c r="L115" s="14" t="str">
        <x:v>优先</x:v>
      </x:c>
      <x:c r="M115" s="14" t="str">
        <x:v>未取得全文；页面响应不能证明全文权限。</x:v>
      </x:c>
      <x:c r="N115" s="14" t="str">
        <x:v>从 DOI 或出版社页查看全文；也可使用学校图书馆或作者公开版本。</x:v>
      </x:c>
      <x:c r="O115" s="14" t="str">
        <x:v>反事实斜率及其在教育选择、社会分层中的应用。</x:v>
      </x:c>
      <x:c r="P115" s="14" t="str">
        <x:v>10.1177/00811750251340392</x:v>
      </x:c>
      <x:c r="Q115" s="14" t="str"/>
      <x:c r="R115" s="17"/>
      <x:c r="S115" s="14" t="str"/>
      <x:c r="T115" s="14" t="str"/>
      <x:c r="U115" s="19" t="n">
        <x:v>46303</x:v>
      </x:c>
    </x:row>
    <x:row r="116" ht="68" customHeight="1">
      <x:c r="A116" s="14" t="str">
        <x:v>D-77E3780B</x:v>
      </x:c>
      <x:c r="B116" s="14" t="str">
        <x:v>需人工获取</x:v>
      </x:c>
      <x:c r="C116" s="14" t="str">
        <x:v>Fast Stable Restricted Maximum Likelihood and Marginal Likelihood Estimation of Semiparametric Generalized Linear Models</x:v>
      </x:c>
      <x:c r="D116" s="14" t="str">
        <x:v>英文</x:v>
      </x:c>
      <x:c r="E116" s="15" t="str">
        <x:v>未处理</x:v>
      </x:c>
      <x:c r="F116" s="15" t="str"/>
      <x:c r="G116" s="16" t="str">
        <x:v>https://doi.org/10.1111/j.1467-9868.2010.00749.x</x:v>
      </x:c>
      <x:c r="H116" s="14" t="str">
        <x:v>D11；J01；O05</x:v>
      </x:c>
      <x:c r="I116" s="14" t="str">
        <x:v>Simon N. Wood</x:v>
      </x:c>
      <x:c r="J116" s="18" t="n">
        <x:v>2011</x:v>
      </x:c>
      <x:c r="K116" s="14" t="str">
        <x:v>研究文献</x:v>
      </x:c>
      <x:c r="L116" s="14" t="str">
        <x:v>优先</x:v>
      </x:c>
      <x:c r="M116" s="14" t="str">
        <x:v>未取得全文；页面响应不能证明全文权限。</x:v>
      </x:c>
      <x:c r="N116" s="14" t="str">
        <x:v>从 DOI 或出版社页查看全文；也可使用学校图书馆或作者公开版本。</x:v>
      </x:c>
      <x:c r="O116" s="14" t="str">
        <x:v>GAM 的稳定平滑参数估计；关键计算发展节点，不是 GAM 唯一起源。</x:v>
      </x:c>
      <x:c r="P116" s="14" t="str">
        <x:v>10.1111/j.1467-9868.2010.00749.x</x:v>
      </x:c>
      <x:c r="Q116" s="14" t="str"/>
      <x:c r="R116" s="17"/>
      <x:c r="S116" s="14" t="str"/>
      <x:c r="T116" s="14" t="str"/>
      <x:c r="U116" s="19" t="n">
        <x:v>46303</x:v>
      </x:c>
    </x:row>
    <x:row r="117" ht="68" customHeight="1">
      <x:c r="A117" s="14" t="str">
        <x:v>D-8F5C02FF</x:v>
      </x:c>
      <x:c r="B117" s="14" t="str">
        <x:v>需人工获取</x:v>
      </x:c>
      <x:c r="C117" s="14" t="str">
        <x:v>Structural equation modeling in practice: A review and recommended two-step approach</x:v>
      </x:c>
      <x:c r="D117" s="14" t="str">
        <x:v>英文</x:v>
      </x:c>
      <x:c r="E117" s="15" t="str">
        <x:v>未处理</x:v>
      </x:c>
      <x:c r="F117" s="15" t="str"/>
      <x:c r="G117" s="16" t="str">
        <x:v>https://doi.org/10.1037/0033-2909.103.3.411</x:v>
      </x:c>
      <x:c r="H117" s="14" t="str">
        <x:v>E02</x:v>
      </x:c>
      <x:c r="I117" s="14" t="str">
        <x:v>Anderson, J. C., &amp; Gerbing, D. W.</x:v>
      </x:c>
      <x:c r="J117" s="18" t="n">
        <x:v>1988</x:v>
      </x:c>
      <x:c r="K117" s="14" t="str">
        <x:v>研究文献</x:v>
      </x:c>
      <x:c r="L117" s="14" t="str">
        <x:v>优先</x:v>
      </x:c>
      <x:c r="M117" s="14" t="str">
        <x:v>未取得全文；页面响应不能证明全文权限。</x:v>
      </x:c>
      <x:c r="N117" s="14" t="str">
        <x:v>从 DOI 或出版社页查看全文；也可使用学校图书馆或作者公开版本。</x:v>
      </x:c>
      <x:c r="O117" s="14" t="str">
        <x:v>**两步法的来源**，至今是标准做法</x:v>
      </x:c>
      <x:c r="P117" s="14" t="str">
        <x:v>10.1037/0033-2909.103.3.411</x:v>
      </x:c>
      <x:c r="Q117" s="14" t="str"/>
      <x:c r="R117" s="17"/>
      <x:c r="S117" s="14" t="str"/>
      <x:c r="T117" s="14" t="str"/>
      <x:c r="U117" s="19" t="n">
        <x:v>46303</x:v>
      </x:c>
    </x:row>
    <x:row r="118" ht="68" customHeight="1">
      <x:c r="A118" s="14" t="str">
        <x:v>D-7AB98969</x:v>
      </x:c>
      <x:c r="B118" s="14" t="str">
        <x:v>需人工获取</x:v>
      </x:c>
      <x:c r="C118" s="14" t="str">
        <x:v>Latent variable modeling in heterogeneous populations</x:v>
      </x:c>
      <x:c r="D118" s="14" t="str">
        <x:v>英文</x:v>
      </x:c>
      <x:c r="E118" s="15" t="str">
        <x:v>未处理</x:v>
      </x:c>
      <x:c r="F118" s="15" t="str"/>
      <x:c r="G118" s="16" t="str">
        <x:v>https://doi.org/10.1007/bf02296397</x:v>
      </x:c>
      <x:c r="H118" s="14" t="str">
        <x:v>E03</x:v>
      </x:c>
      <x:c r="I118" s="14" t="str">
        <x:v>Muthén, B. O.</x:v>
      </x:c>
      <x:c r="J118" s="18" t="n">
        <x:v>1989</x:v>
      </x:c>
      <x:c r="K118" s="14" t="str">
        <x:v>研究文献</x:v>
      </x:c>
      <x:c r="L118" s="14" t="str">
        <x:v>优先</x:v>
      </x:c>
      <x:c r="M118" s="14" t="str">
        <x:v>未取得全文；页面响应不能证明全文权限。</x:v>
      </x:c>
      <x:c r="N118" s="14" t="str">
        <x:v>从 DOI 或出版社页查看全文；也可使用学校图书馆或作者公开版本。</x:v>
      </x:c>
      <x:c r="O118" s="14" t="str">
        <x:v>MIMIC 模型的来源</x:v>
      </x:c>
      <x:c r="P118" s="14" t="str">
        <x:v>10.1007/bf02296397</x:v>
      </x:c>
      <x:c r="Q118" s="14" t="str"/>
      <x:c r="R118" s="17"/>
      <x:c r="S118" s="14" t="str"/>
      <x:c r="T118" s="14" t="str"/>
      <x:c r="U118" s="19" t="n">
        <x:v>46303</x:v>
      </x:c>
    </x:row>
    <x:row r="119" ht="68" customHeight="1">
      <x:c r="A119" s="14" t="str">
        <x:v>D-45DB3302</x:v>
      </x:c>
      <x:c r="B119" s="14" t="str">
        <x:v>需人工获取</x:v>
      </x:c>
      <x:c r="C119" s="14" t="str">
        <x:v>Simultaneous factor analysis in several populations</x:v>
      </x:c>
      <x:c r="D119" s="14" t="str">
        <x:v>英文</x:v>
      </x:c>
      <x:c r="E119" s="15" t="str">
        <x:v>未处理</x:v>
      </x:c>
      <x:c r="F119" s="15" t="str"/>
      <x:c r="G119" s="16" t="str">
        <x:v>https://doi.org/10.1007/bf02291366</x:v>
      </x:c>
      <x:c r="H119" s="14" t="str">
        <x:v>E03</x:v>
      </x:c>
      <x:c r="I119" s="14" t="str">
        <x:v>Jöreskog, K. G.</x:v>
      </x:c>
      <x:c r="J119" s="18" t="n">
        <x:v>1971</x:v>
      </x:c>
      <x:c r="K119" s="14" t="str">
        <x:v>研究文献</x:v>
      </x:c>
      <x:c r="L119" s="14" t="str">
        <x:v>优先</x:v>
      </x:c>
      <x:c r="M119" s="14" t="str">
        <x:v>未取得全文；页面响应不能证明全文权限。</x:v>
      </x:c>
      <x:c r="N119" s="14" t="str">
        <x:v>从 DOI 或出版社页查看全文；也可使用学校图书馆或作者公开版本。</x:v>
      </x:c>
      <x:c r="O119" s="14" t="str">
        <x:v>多组因素分析的原始文献</x:v>
      </x:c>
      <x:c r="P119" s="14" t="str">
        <x:v>10.1007/bf02291366</x:v>
      </x:c>
      <x:c r="Q119" s="14" t="str"/>
      <x:c r="R119" s="17"/>
      <x:c r="S119" s="14" t="str"/>
      <x:c r="T119" s="14" t="str"/>
      <x:c r="U119" s="19" t="n">
        <x:v>46303</x:v>
      </x:c>
    </x:row>
    <x:row r="120" ht="68" customHeight="1">
      <x:c r="A120" s="14" t="str">
        <x:v>D-9150CA78</x:v>
      </x:c>
      <x:c r="B120" s="14" t="str">
        <x:v>需人工获取</x:v>
      </x:c>
      <x:c r="C120" s="14" t="str">
        <x:v>Testing measurement invariance using MIMIC: Likelihood ratio test with a critical value adjustment</x:v>
      </x:c>
      <x:c r="D120" s="14" t="str">
        <x:v>英文</x:v>
      </x:c>
      <x:c r="E120" s="15" t="str">
        <x:v>未处理</x:v>
      </x:c>
      <x:c r="F120" s="15" t="str"/>
      <x:c r="G120" s="16" t="str">
        <x:v>https://doi.org/10.1177/0013164411427395</x:v>
      </x:c>
      <x:c r="H120" s="14" t="str">
        <x:v>E03</x:v>
      </x:c>
      <x:c r="I120" s="14" t="str">
        <x:v>Kim, E. S., Yoon, M., &amp; Lee, T.</x:v>
      </x:c>
      <x:c r="J120" s="18" t="n">
        <x:v>2012</x:v>
      </x:c>
      <x:c r="K120" s="14" t="str">
        <x:v>研究文献</x:v>
      </x:c>
      <x:c r="L120" s="14" t="str">
        <x:v>优先</x:v>
      </x:c>
      <x:c r="M120" s="14" t="str">
        <x:v>未取得全文；页面响应不能证明全文权限。</x:v>
      </x:c>
      <x:c r="N120" s="14" t="str">
        <x:v>从 DOI 或出版社页查看全文；也可使用学校图书馆或作者公开版本。</x:v>
      </x:c>
      <x:c r="O120" s="14" t="str">
        <x:v>**MIMIC 检测 DIF 的能力与边界**</x:v>
      </x:c>
      <x:c r="P120" s="14" t="str">
        <x:v>10.1177/0013164411427395</x:v>
      </x:c>
      <x:c r="Q120" s="14" t="str"/>
      <x:c r="R120" s="17"/>
      <x:c r="S120" s="14" t="str"/>
      <x:c r="T120" s="14" t="str"/>
      <x:c r="U120" s="19" t="n">
        <x:v>46303</x:v>
      </x:c>
    </x:row>
    <x:row r="121" ht="68" customHeight="1">
      <x:c r="A121" s="14" t="str">
        <x:v>D-8C0AEA7F</x:v>
      </x:c>
      <x:c r="B121" s="14" t="str">
        <x:v>需人工获取</x:v>
      </x:c>
      <x:c r="C121" s="14" t="str">
        <x:v>Estimating the nonlinear and interactive effects of latent variables</x:v>
      </x:c>
      <x:c r="D121" s="14" t="str">
        <x:v>英文</x:v>
      </x:c>
      <x:c r="E121" s="15" t="str">
        <x:v>未处理</x:v>
      </x:c>
      <x:c r="F121" s="15" t="str"/>
      <x:c r="G121" s="16" t="str">
        <x:v>https://doi.org/10.1037/0033-2909.96.1.201</x:v>
      </x:c>
      <x:c r="H121" s="14" t="str">
        <x:v>E04</x:v>
      </x:c>
      <x:c r="I121" s="14" t="str">
        <x:v>Kenny, D. A., &amp; Judd, C. M.</x:v>
      </x:c>
      <x:c r="J121" s="18" t="n">
        <x:v>1984</x:v>
      </x:c>
      <x:c r="K121" s="14" t="str">
        <x:v>研究文献</x:v>
      </x:c>
      <x:c r="L121" s="14" t="str">
        <x:v>优先</x:v>
      </x:c>
      <x:c r="M121" s="14" t="str">
        <x:v>未取得全文；页面响应不能证明全文权限。</x:v>
      </x:c>
      <x:c r="N121" s="14" t="str">
        <x:v>从 DOI 或出版社页查看全文；也可使用学校图书馆或作者公开版本。</x:v>
      </x:c>
      <x:c r="O121" s="14" t="str">
        <x:v>乘积指标法的来源</x:v>
      </x:c>
      <x:c r="P121" s="14" t="str">
        <x:v>10.1037/0033-2909.96.1.201</x:v>
      </x:c>
      <x:c r="Q121" s="14" t="str"/>
      <x:c r="R121" s="17"/>
      <x:c r="S121" s="14" t="str"/>
      <x:c r="T121" s="14" t="str"/>
      <x:c r="U121" s="19" t="n">
        <x:v>46303</x:v>
      </x:c>
    </x:row>
    <x:row r="122" ht="68" customHeight="1">
      <x:c r="A122" s="14" t="str">
        <x:v>D-8860460D</x:v>
      </x:c>
      <x:c r="B122" s="14" t="str">
        <x:v>需人工获取</x:v>
      </x:c>
      <x:c r="C122" s="14" t="str">
        <x:v>Maximum likelihood estimation of latent interaction effects with the LMS method</x:v>
      </x:c>
      <x:c r="D122" s="14" t="str">
        <x:v>英文</x:v>
      </x:c>
      <x:c r="E122" s="15" t="str">
        <x:v>未处理</x:v>
      </x:c>
      <x:c r="F122" s="15" t="str"/>
      <x:c r="G122" s="16" t="str">
        <x:v>https://doi.org/10.1007/bf02296338</x:v>
      </x:c>
      <x:c r="H122" s="14" t="str">
        <x:v>E04</x:v>
      </x:c>
      <x:c r="I122" s="14" t="str">
        <x:v>Klein, A., &amp; Moosbrugger, H.</x:v>
      </x:c>
      <x:c r="J122" s="18" t="n">
        <x:v>2000</x:v>
      </x:c>
      <x:c r="K122" s="14" t="str">
        <x:v>研究文献</x:v>
      </x:c>
      <x:c r="L122" s="14" t="str">
        <x:v>优先</x:v>
      </x:c>
      <x:c r="M122" s="14" t="str">
        <x:v>未取得全文；页面响应不能证明全文权限。</x:v>
      </x:c>
      <x:c r="N122" s="14" t="str">
        <x:v>从 DOI 或出版社页查看全文；也可使用学校图书馆或作者公开版本。</x:v>
      </x:c>
      <x:c r="O122" s="14" t="str">
        <x:v>LMS 的原始文献</x:v>
      </x:c>
      <x:c r="P122" s="14" t="str">
        <x:v>10.1007/bf02296338</x:v>
      </x:c>
      <x:c r="Q122" s="14" t="str"/>
      <x:c r="R122" s="17"/>
      <x:c r="S122" s="14" t="str"/>
      <x:c r="T122" s="14" t="str"/>
      <x:c r="U122" s="19" t="n">
        <x:v>46303</x:v>
      </x:c>
    </x:row>
    <x:row r="123" ht="68" customHeight="1">
      <x:c r="A123" s="14" t="str">
        <x:v>D-52A3812A</x:v>
      </x:c>
      <x:c r="B123" s="14" t="str">
        <x:v>需人工获取</x:v>
      </x:c>
      <x:c r="C123" s="14" t="str">
        <x:v>Structural equation models of latent interactions: Evaluation of alternative estimation strategies and indicator construction</x:v>
      </x:c>
      <x:c r="D123" s="14" t="str">
        <x:v>英文</x:v>
      </x:c>
      <x:c r="E123" s="15" t="str">
        <x:v>未处理</x:v>
      </x:c>
      <x:c r="F123" s="15" t="str"/>
      <x:c r="G123" s="16" t="str">
        <x:v>https://doi.org/10.1037/1082-989x.9.3.275</x:v>
      </x:c>
      <x:c r="H123" s="14" t="str">
        <x:v>E04</x:v>
      </x:c>
      <x:c r="I123" s="14" t="str">
        <x:v>Marsh, H. W., Wen, Z., &amp; Hau, K.-T.</x:v>
      </x:c>
      <x:c r="J123" s="18" t="n">
        <x:v>2004</x:v>
      </x:c>
      <x:c r="K123" s="14" t="str">
        <x:v>研究文献</x:v>
      </x:c>
      <x:c r="L123" s="14" t="str">
        <x:v>优先</x:v>
      </x:c>
      <x:c r="M123" s="14" t="str">
        <x:v>未取得全文；页面响应不能证明全文权限。</x:v>
      </x:c>
      <x:c r="N123" s="14" t="str">
        <x:v>从 DOI 或出版社页查看全文；也可使用学校图书馆或作者公开版本。</x:v>
      </x:c>
      <x:c r="O123" s="14" t="str">
        <x:v>**各种策略的系统比较**，匹配配对法的推荐来源。温忠麟是作者之一</x:v>
      </x:c>
      <x:c r="P123" s="14" t="str">
        <x:v>10.1037/1082-989x.9.3.275</x:v>
      </x:c>
      <x:c r="Q123" s="14" t="str"/>
      <x:c r="R123" s="17"/>
      <x:c r="S123" s="14" t="str"/>
      <x:c r="T123" s="14" t="str"/>
      <x:c r="U123" s="19" t="n">
        <x:v>46303</x:v>
      </x:c>
    </x:row>
    <x:row r="124" ht="68" customHeight="1">
      <x:c r="A124" s="14" t="str">
        <x:v>D-8AE168C1</x:v>
      </x:c>
      <x:c r="B124" s="14" t="str">
        <x:v>需人工获取</x:v>
      </x:c>
      <x:c r="C124" s="14" t="str">
        <x:v>Latent curve analysis</x:v>
      </x:c>
      <x:c r="D124" s="14" t="str">
        <x:v>英文</x:v>
      </x:c>
      <x:c r="E124" s="15" t="str">
        <x:v>未处理</x:v>
      </x:c>
      <x:c r="F124" s="15" t="str"/>
      <x:c r="G124" s="16" t="str">
        <x:v>https://doi.org/10.1007/bf02294746</x:v>
      </x:c>
      <x:c r="H124" s="14" t="str">
        <x:v>E05</x:v>
      </x:c>
      <x:c r="I124" s="14" t="str">
        <x:v>Meredith, W., &amp; Tisak, J.</x:v>
      </x:c>
      <x:c r="J124" s="18" t="n">
        <x:v>1990</x:v>
      </x:c>
      <x:c r="K124" s="14" t="str">
        <x:v>研究文献</x:v>
      </x:c>
      <x:c r="L124" s="14" t="str">
        <x:v>优先</x:v>
      </x:c>
      <x:c r="M124" s="14" t="str">
        <x:v>未取得全文；页面响应不能证明全文权限。</x:v>
      </x:c>
      <x:c r="N124" s="14" t="str">
        <x:v>从 DOI 或出版社页查看全文；也可使用学校图书馆或作者公开版本。</x:v>
      </x:c>
      <x:c r="O124" s="14" t="str">
        <x:v>潜增长模型的原始文献</x:v>
      </x:c>
      <x:c r="P124" s="14" t="str">
        <x:v>10.1007/bf02294746</x:v>
      </x:c>
      <x:c r="Q124" s="14" t="str"/>
      <x:c r="R124" s="17"/>
      <x:c r="S124" s="14" t="str"/>
      <x:c r="T124" s="14" t="str"/>
      <x:c r="U124" s="19" t="n">
        <x:v>46303</x:v>
      </x:c>
    </x:row>
    <x:row r="125" ht="68" customHeight="1">
      <x:c r="A125" s="14" t="str">
        <x:v>D-090CF0C9</x:v>
      </x:c>
      <x:c r="B125" s="14" t="str">
        <x:v>需人工获取</x:v>
      </x:c>
      <x:c r="C125" s="14" t="str">
        <x:v>Twelve frequently asked questions about growth curve modeling</x:v>
      </x:c>
      <x:c r="D125" s="14" t="str">
        <x:v>英文</x:v>
      </x:c>
      <x:c r="E125" s="15" t="str">
        <x:v>未处理</x:v>
      </x:c>
      <x:c r="F125" s="15" t="str"/>
      <x:c r="G125" s="16" t="str">
        <x:v>https://doi.org/10.1080/15248371003699969</x:v>
      </x:c>
      <x:c r="H125" s="14" t="str">
        <x:v>E05</x:v>
      </x:c>
      <x:c r="I125" s="14" t="str">
        <x:v>Curran, P. J., Obeidat, K., &amp; Losardo, D.</x:v>
      </x:c>
      <x:c r="J125" s="18" t="n">
        <x:v>2010</x:v>
      </x:c>
      <x:c r="K125" s="14" t="str">
        <x:v>研究文献</x:v>
      </x:c>
      <x:c r="L125" s="14" t="str">
        <x:v>优先</x:v>
      </x:c>
      <x:c r="M125" s="14" t="str">
        <x:v>未取得全文；页面响应不能证明全文权限。</x:v>
      </x:c>
      <x:c r="N125" s="14" t="str">
        <x:v>从 DOI 或出版社页查看全文；也可使用学校图书馆或作者公开版本。</x:v>
      </x:c>
      <x:c r="O125" s="14" t="str">
        <x:v>**十二个最常问的问题**，包括时间编码、非线性、样本量</x:v>
      </x:c>
      <x:c r="P125" s="14" t="str">
        <x:v>10.1080/15248371003699969</x:v>
      </x:c>
      <x:c r="Q125" s="14" t="str"/>
      <x:c r="R125" s="17"/>
      <x:c r="S125" s="14" t="str"/>
      <x:c r="T125" s="14" t="str"/>
      <x:c r="U125" s="19" t="n">
        <x:v>46303</x:v>
      </x:c>
    </x:row>
    <x:row r="126" ht="68" customHeight="1">
      <x:c r="A126" s="14" t="str">
        <x:v>D-D5918040</x:v>
      </x:c>
      <x:c r="B126" s="14" t="str">
        <x:v>需人工获取</x:v>
      </x:c>
      <x:c r="C126" s="14" t="str">
        <x:v>Longitudinal data analysis using generalized linear models</x:v>
      </x:c>
      <x:c r="D126" s="14" t="str">
        <x:v>英文</x:v>
      </x:c>
      <x:c r="E126" s="15" t="str">
        <x:v>未处理</x:v>
      </x:c>
      <x:c r="F126" s="15" t="str"/>
      <x:c r="G126" s="16" t="str">
        <x:v>https://doi.org/10.1093/biomet/73.1.13</x:v>
      </x:c>
      <x:c r="H126" s="14" t="str">
        <x:v>E05；F01；F06</x:v>
      </x:c>
      <x:c r="I126" s="14" t="str">
        <x:v>Liang, K.-Y., &amp; Zeger, S. L.</x:v>
      </x:c>
      <x:c r="J126" s="18" t="n">
        <x:v>1986</x:v>
      </x:c>
      <x:c r="K126" s="14" t="str">
        <x:v>研究文献</x:v>
      </x:c>
      <x:c r="L126" s="14" t="str">
        <x:v>优先</x:v>
      </x:c>
      <x:c r="M126" s="14" t="str">
        <x:v>未取得全文；页面响应不能证明全文权限。</x:v>
      </x:c>
      <x:c r="N126" s="14" t="str">
        <x:v>从 DOI 或出版社页查看全文；也可使用学校图书馆或作者公开版本。</x:v>
      </x:c>
      <x:c r="O126" s="14" t="str">
        <x:v>GEE 的原始文献</x:v>
      </x:c>
      <x:c r="P126" s="14" t="str">
        <x:v>10.1093/biomet/73.1.13</x:v>
      </x:c>
      <x:c r="Q126" s="14" t="str"/>
      <x:c r="R126" s="17"/>
      <x:c r="S126" s="14" t="str"/>
      <x:c r="T126" s="14" t="str"/>
      <x:c r="U126" s="19" t="n">
        <x:v>46303</x:v>
      </x:c>
    </x:row>
    <x:row r="127" ht="68" customHeight="1">
      <x:c r="A127" s="14" t="str">
        <x:v>D-B0EF9773</x:v>
      </x:c>
      <x:c r="B127" s="14" t="str">
        <x:v>需人工获取</x:v>
      </x:c>
      <x:c r="C127" s="14" t="str">
        <x:v>Regression models and life-tables</x:v>
      </x:c>
      <x:c r="D127" s="14" t="str">
        <x:v>英文</x:v>
      </x:c>
      <x:c r="E127" s="15" t="str">
        <x:v>未处理</x:v>
      </x:c>
      <x:c r="F127" s="15" t="str"/>
      <x:c r="G127" s="16" t="str">
        <x:v>https://doi.org/10.1111/j.2517-6161.1972.tb00899.x</x:v>
      </x:c>
      <x:c r="H127" s="14" t="str">
        <x:v>E05；F01；H01；H11</x:v>
      </x:c>
      <x:c r="I127" s="14" t="str">
        <x:v>Cox, D. R.</x:v>
      </x:c>
      <x:c r="J127" s="18" t="n">
        <x:v>1972</x:v>
      </x:c>
      <x:c r="K127" s="14" t="str">
        <x:v>研究文献</x:v>
      </x:c>
      <x:c r="L127" s="14" t="str">
        <x:v>优先</x:v>
      </x:c>
      <x:c r="M127" s="14" t="str">
        <x:v>未取得全文；页面响应不能证明全文权限。</x:v>
      </x:c>
      <x:c r="N127" s="14" t="str">
        <x:v>从 DOI 或出版社页查看全文；也可使用学校图书馆或作者公开版本。</x:v>
      </x:c>
      <x:c r="O127" s="14" t="str">
        <x:v>Cox 模型的原始文献，统计学被引最多的论文之一</x:v>
      </x:c>
      <x:c r="P127" s="14" t="str">
        <x:v>10.1111/j.2517-6161.1972.tb00899.x</x:v>
      </x:c>
      <x:c r="Q127" s="14" t="str"/>
      <x:c r="R127" s="17"/>
      <x:c r="S127" s="14" t="str"/>
      <x:c r="T127" s="14" t="str"/>
      <x:c r="U127" s="19" t="n">
        <x:v>46303</x:v>
      </x:c>
    </x:row>
    <x:row r="128" ht="68" customHeight="1">
      <x:c r="A128" s="14" t="str">
        <x:v>D-77D8F100</x:v>
      </x:c>
      <x:c r="B128" s="14" t="str">
        <x:v>需人工获取</x:v>
      </x:c>
      <x:c r="C128" s="14" t="str">
        <x:v>Analyzing developmental trajectories: A semiparametric, group-based approach</x:v>
      </x:c>
      <x:c r="D128" s="14" t="str">
        <x:v>英文</x:v>
      </x:c>
      <x:c r="E128" s="15" t="str">
        <x:v>未处理</x:v>
      </x:c>
      <x:c r="F128" s="15" t="str"/>
      <x:c r="G128" s="16" t="str">
        <x:v>https://doi.org/10.1037/1082-989x.4.2.139</x:v>
      </x:c>
      <x:c r="H128" s="14" t="str">
        <x:v>E06</x:v>
      </x:c>
      <x:c r="I128" s="14" t="str">
        <x:v>Nagin, D. S.</x:v>
      </x:c>
      <x:c r="J128" s="18" t="n">
        <x:v>1999</x:v>
      </x:c>
      <x:c r="K128" s="14" t="str">
        <x:v>研究文献</x:v>
      </x:c>
      <x:c r="L128" s="14" t="str">
        <x:v>优先</x:v>
      </x:c>
      <x:c r="M128" s="14" t="str">
        <x:v>未取得全文；页面响应不能证明全文权限。</x:v>
      </x:c>
      <x:c r="N128" s="14" t="str">
        <x:v>从 DOI 或出版社页查看全文；也可使用学校图书馆或作者公开版本。</x:v>
      </x:c>
      <x:c r="O128" s="14" t="str">
        <x:v>基于组的轨迹模型（LCGA 传统）</x:v>
      </x:c>
      <x:c r="P128" s="14" t="str">
        <x:v>10.1037/1082-989x.4.2.139</x:v>
      </x:c>
      <x:c r="Q128" s="14" t="str"/>
      <x:c r="R128" s="17"/>
      <x:c r="S128" s="14" t="str"/>
      <x:c r="T128" s="14" t="str"/>
      <x:c r="U128" s="19" t="n">
        <x:v>46303</x:v>
      </x:c>
    </x:row>
    <x:row r="129" ht="68" customHeight="1">
      <x:c r="A129" s="14" t="str">
        <x:v>D-25F66B3C</x:v>
      </x:c>
      <x:c r="B129" s="14" t="str">
        <x:v>需人工获取</x:v>
      </x:c>
      <x:c r="C129" s="14" t="str">
        <x:v>Finite mixture modeling with mixture outcomes using the EM algorithm</x:v>
      </x:c>
      <x:c r="D129" s="14" t="str">
        <x:v>英文</x:v>
      </x:c>
      <x:c r="E129" s="15" t="str">
        <x:v>未处理</x:v>
      </x:c>
      <x:c r="F129" s="15" t="str"/>
      <x:c r="G129" s="16" t="str">
        <x:v>https://doi.org/10.1111/j.0006-341x.1999.00463.x</x:v>
      </x:c>
      <x:c r="H129" s="14" t="str">
        <x:v>E06</x:v>
      </x:c>
      <x:c r="I129" s="14" t="str">
        <x:v>Muthén, B., &amp; Shedden, K.</x:v>
      </x:c>
      <x:c r="J129" s="18" t="n">
        <x:v>1999</x:v>
      </x:c>
      <x:c r="K129" s="14" t="str">
        <x:v>研究文献</x:v>
      </x:c>
      <x:c r="L129" s="14" t="str">
        <x:v>优先</x:v>
      </x:c>
      <x:c r="M129" s="14" t="str">
        <x:v>未取得全文；页面响应不能证明全文权限。</x:v>
      </x:c>
      <x:c r="N129" s="14" t="str">
        <x:v>从 DOI 或出版社页查看全文；也可使用学校图书馆或作者公开版本。</x:v>
      </x:c>
      <x:c r="O129" s="14" t="str">
        <x:v>GMM 的原始文献</x:v>
      </x:c>
      <x:c r="P129" s="14" t="str">
        <x:v>10.1111/j.0006-341x.1999.00463.x</x:v>
      </x:c>
      <x:c r="Q129" s="14" t="str"/>
      <x:c r="R129" s="17"/>
      <x:c r="S129" s="14" t="str"/>
      <x:c r="T129" s="14" t="str"/>
      <x:c r="U129" s="19" t="n">
        <x:v>46303</x:v>
      </x:c>
    </x:row>
    <x:row r="130" ht="68" customHeight="1">
      <x:c r="A130" s="14" t="str">
        <x:v>D-661260E9</x:v>
      </x:c>
      <x:c r="B130" s="14" t="str">
        <x:v>需人工获取</x:v>
      </x:c>
      <x:c r="C130" s="14" t="str">
        <x:v>Testing prospective effects in longitudinal research: Comparing seven competing cross-lagged models</x:v>
      </x:c>
      <x:c r="D130" s="14" t="str">
        <x:v>英文</x:v>
      </x:c>
      <x:c r="E130" s="15" t="str">
        <x:v>未处理</x:v>
      </x:c>
      <x:c r="F130" s="15" t="str"/>
      <x:c r="G130" s="16" t="str">
        <x:v>https://doi.org/10.1037/pspp0000358</x:v>
      </x:c>
      <x:c r="H130" s="14" t="str">
        <x:v>E07；E08</x:v>
      </x:c>
      <x:c r="I130" s="14" t="str">
        <x:v>Orth, U., Clark, D. A., Donnellan, M. B., &amp; Robins, R. W.</x:v>
      </x:c>
      <x:c r="J130" s="18" t="n">
        <x:v>2021</x:v>
      </x:c>
      <x:c r="K130" s="14" t="str">
        <x:v>研究文献</x:v>
      </x:c>
      <x:c r="L130" s="14" t="str">
        <x:v>优先</x:v>
      </x:c>
      <x:c r="M130" s="14" t="str">
        <x:v>未取得全文；页面响应不能证明全文权限。</x:v>
      </x:c>
      <x:c r="N130" s="14" t="str">
        <x:v>从 DOI 或出版社页查看全文；也可使用学校图书馆或作者公开版本。</x:v>
      </x:c>
      <x:c r="O130" s="14" t="str">
        <x:v>七个竞争模型的系统比较，告诉你什么情况该选哪个</x:v>
      </x:c>
      <x:c r="P130" s="14" t="str">
        <x:v>10.1037/pspp0000358</x:v>
      </x:c>
      <x:c r="Q130" s="14" t="str"/>
      <x:c r="R130" s="17"/>
      <x:c r="S130" s="14" t="str"/>
      <x:c r="T130" s="14" t="str"/>
      <x:c r="U130" s="19" t="n">
        <x:v>46303</x:v>
      </x:c>
    </x:row>
    <x:row r="131" ht="68" customHeight="1">
      <x:c r="A131" s="14" t="str">
        <x:v>D-600F959F</x:v>
      </x:c>
      <x:c r="B131" s="14" t="str">
        <x:v>需人工获取</x:v>
      </x:c>
      <x:c r="C131" s="14" t="str">
        <x:v>From data to causes I: Building a general cross-lagged panel model (GCLM)</x:v>
      </x:c>
      <x:c r="D131" s="14" t="str">
        <x:v>英文</x:v>
      </x:c>
      <x:c r="E131" s="15" t="str">
        <x:v>未处理</x:v>
      </x:c>
      <x:c r="F131" s="15" t="str"/>
      <x:c r="G131" s="16" t="str">
        <x:v>https://doi.org/10.1177/1094428119847278</x:v>
      </x:c>
      <x:c r="H131" s="14" t="str">
        <x:v>E08</x:v>
      </x:c>
      <x:c r="I131" s="14" t="str">
        <x:v>Zyphur, M. J., et al.</x:v>
      </x:c>
      <x:c r="J131" s="18" t="n">
        <x:v>2020</x:v>
      </x:c>
      <x:c r="K131" s="14" t="str">
        <x:v>研究文献</x:v>
      </x:c>
      <x:c r="L131" s="14" t="str">
        <x:v>优先</x:v>
      </x:c>
      <x:c r="M131" s="14" t="str">
        <x:v>未取得全文；页面响应不能证明全文权限。</x:v>
      </x:c>
      <x:c r="N131" s="14" t="str">
        <x:v>从 DOI 或出版社页查看全文；也可使用学校图书馆或作者公开版本。</x:v>
      </x:c>
      <x:c r="O131" s="14" t="str">
        <x:v>GCLM 的提出，处理长期效应与脉冲效应</x:v>
      </x:c>
      <x:c r="P131" s="14" t="str">
        <x:v>10.1177/1094428119847278</x:v>
      </x:c>
      <x:c r="Q131" s="14" t="str"/>
      <x:c r="R131" s="17"/>
      <x:c r="S131" s="14" t="str"/>
      <x:c r="T131" s="14" t="str"/>
      <x:c r="U131" s="19" t="n">
        <x:v>46303</x:v>
      </x:c>
    </x:row>
    <x:row r="132" ht="68" customHeight="1">
      <x:c r="A132" s="14" t="str">
        <x:v>D-4560D6B4</x:v>
      </x:c>
      <x:c r="B132" s="14" t="str">
        <x:v>需人工获取</x:v>
      </x:c>
      <x:c r="C132" s="14" t="str">
        <x:v>Three extensions of the random intercept cross-lagged panel model</x:v>
      </x:c>
      <x:c r="D132" s="14" t="str">
        <x:v>英文</x:v>
      </x:c>
      <x:c r="E132" s="15" t="str">
        <x:v>未处理</x:v>
      </x:c>
      <x:c r="F132" s="15" t="str"/>
      <x:c r="G132" s="16" t="str">
        <x:v>https://doi.org/10.1080/10705511.2020.1784738</x:v>
      </x:c>
      <x:c r="H132" s="14" t="str">
        <x:v>E08</x:v>
      </x:c>
      <x:c r="I132" s="14" t="str">
        <x:v>Mulder, J. D., &amp; Hamaker, E. L.</x:v>
      </x:c>
      <x:c r="J132" s="18" t="n">
        <x:v>2021</x:v>
      </x:c>
      <x:c r="K132" s="14" t="str">
        <x:v>研究文献</x:v>
      </x:c>
      <x:c r="L132" s="14" t="str">
        <x:v>优先</x:v>
      </x:c>
      <x:c r="M132" s="14" t="str">
        <x:v>未取得全文；页面响应不能证明全文权限。</x:v>
      </x:c>
      <x:c r="N132" s="14" t="str">
        <x:v>从 DOI 或出版社页查看全文；也可使用学校图书馆或作者公开版本。</x:v>
      </x:c>
      <x:c r="O132" s="14" t="str">
        <x:v>扩展版本 + 完整的 lavaan/Mplus 语法。配套网站是最实用的资源</x:v>
      </x:c>
      <x:c r="P132" s="14" t="str">
        <x:v>10.1080/10705511.2020.1784738</x:v>
      </x:c>
      <x:c r="Q132" s="14" t="str"/>
      <x:c r="R132" s="17"/>
      <x:c r="S132" s="14" t="str"/>
      <x:c r="T132" s="14" t="str"/>
      <x:c r="U132" s="19" t="n">
        <x:v>46303</x:v>
      </x:c>
    </x:row>
    <x:row r="133" ht="68" customHeight="1">
      <x:c r="A133" s="14" t="str">
        <x:v>D-962FC8EB</x:v>
      </x:c>
      <x:c r="B133" s="14" t="str">
        <x:v>需人工获取</x:v>
      </x:c>
      <x:c r="C133" s="14" t="str">
        <x:v>Dynamic structural equation models</x:v>
      </x:c>
      <x:c r="D133" s="14" t="str">
        <x:v>英文</x:v>
      </x:c>
      <x:c r="E133" s="15" t="str">
        <x:v>未处理</x:v>
      </x:c>
      <x:c r="F133" s="15" t="str"/>
      <x:c r="G133" s="16" t="str">
        <x:v>https://doi.org/10.1080/10705511.2017.1406803</x:v>
      </x:c>
      <x:c r="H133" s="14" t="str">
        <x:v>E08；H07；H10</x:v>
      </x:c>
      <x:c r="I133" s="14" t="str">
        <x:v>Asparouhov, T., Hamaker, E. L., &amp; Muthén, B.</x:v>
      </x:c>
      <x:c r="J133" s="18" t="n">
        <x:v>2018</x:v>
      </x:c>
      <x:c r="K133" s="14" t="str">
        <x:v>研究文献</x:v>
      </x:c>
      <x:c r="L133" s="14" t="str">
        <x:v>优先</x:v>
      </x:c>
      <x:c r="M133" s="14" t="str">
        <x:v>未取得全文；页面响应不能证明全文权限。</x:v>
      </x:c>
      <x:c r="N133" s="14" t="str">
        <x:v>从 DOI 或出版社页查看全文；也可使用学校图书馆或作者公开版本。</x:v>
      </x:c>
      <x:c r="O133" s="14" t="str">
        <x:v>DSEM 的原始文献</x:v>
      </x:c>
      <x:c r="P133" s="14" t="str">
        <x:v>10.1080/10705511.2017.1406803</x:v>
      </x:c>
      <x:c r="Q133" s="14" t="str"/>
      <x:c r="R133" s="17"/>
      <x:c r="S133" s="14" t="str"/>
      <x:c r="T133" s="14" t="str"/>
      <x:c r="U133" s="19" t="n">
        <x:v>46303</x:v>
      </x:c>
    </x:row>
    <x:row r="134" ht="68" customHeight="1">
      <x:c r="A134" s="14" t="str">
        <x:v>D-45105292</x:v>
      </x:c>
      <x:c r="B134" s="14" t="str">
        <x:v>需人工获取</x:v>
      </x:c>
      <x:c r="C134" s="14" t="str">
        <x:v>Path models with latent variables: The NIPALS approach</x:v>
      </x:c>
      <x:c r="D134" s="14" t="str">
        <x:v>英文</x:v>
      </x:c>
      <x:c r="E134" s="15" t="str">
        <x:v>未处理</x:v>
      </x:c>
      <x:c r="F134" s="15" t="str"/>
      <x:c r="G134" s="16" t="str">
        <x:v>https://doi.org/10.1016/b978-0-12-103950-9.50017-4</x:v>
      </x:c>
      <x:c r="H134" s="14" t="str">
        <x:v>E09</x:v>
      </x:c>
      <x:c r="I134" s="14" t="str">
        <x:v>Wold, H.</x:v>
      </x:c>
      <x:c r="J134" s="18" t="n">
        <x:v>1975</x:v>
      </x:c>
      <x:c r="K134" s="14" t="str">
        <x:v>研究文献</x:v>
      </x:c>
      <x:c r="L134" s="14" t="str">
        <x:v>优先</x:v>
      </x:c>
      <x:c r="M134" s="14" t="str">
        <x:v>未取得全文；页面响应不能证明全文权限。</x:v>
      </x:c>
      <x:c r="N134" s="14" t="str">
        <x:v>从 DOI 或出版社页查看全文；也可使用学校图书馆或作者公开版本。</x:v>
      </x:c>
      <x:c r="O134" s="14" t="str">
        <x:v>PLS 路径建模的来源</x:v>
      </x:c>
      <x:c r="P134" s="14" t="str">
        <x:v>10.1016/b978-0-12-103950-9.50017-4</x:v>
      </x:c>
      <x:c r="Q134" s="14" t="str"/>
      <x:c r="R134" s="17"/>
      <x:c r="S134" s="14" t="str"/>
      <x:c r="T134" s="14" t="str"/>
      <x:c r="U134" s="19" t="n">
        <x:v>46303</x:v>
      </x:c>
    </x:row>
    <x:row r="135" ht="68" customHeight="1">
      <x:c r="A135" s="14" t="str">
        <x:v>D-573FBEC0</x:v>
      </x:c>
      <x:c r="B135" s="14" t="str">
        <x:v>需人工获取</x:v>
      </x:c>
      <x:c r="C135" s="14" t="str">
        <x:v>When to use and how to report the results of PLS-SEM</x:v>
      </x:c>
      <x:c r="D135" s="14" t="str">
        <x:v>英文</x:v>
      </x:c>
      <x:c r="E135" s="15" t="str">
        <x:v>未处理</x:v>
      </x:c>
      <x:c r="F135" s="15" t="str"/>
      <x:c r="G135" s="16" t="str">
        <x:v>https://doi.org/10.1108/ebr-11-2018-0203</x:v>
      </x:c>
      <x:c r="H135" s="14" t="str">
        <x:v>E09</x:v>
      </x:c>
      <x:c r="I135" s="14" t="str">
        <x:v>Hair, J. F., Risher, J. J., Sarstedt, M., &amp; Ringle, C. M.</x:v>
      </x:c>
      <x:c r="J135" s="18" t="n">
        <x:v>2019</x:v>
      </x:c>
      <x:c r="K135" s="14" t="str">
        <x:v>研究文献</x:v>
      </x:c>
      <x:c r="L135" s="14" t="str">
        <x:v>优先</x:v>
      </x:c>
      <x:c r="M135" s="14" t="str">
        <x:v>未取得全文；页面响应不能证明全文权限。</x:v>
      </x:c>
      <x:c r="N135" s="14" t="str">
        <x:v>从 DOI 或出版社页查看全文；也可使用学校图书馆或作者公开版本。</x:v>
      </x:c>
      <x:c r="O135" s="14" t="str">
        <x:v>报告规范的主流参考（在管理学与信息系统领域）</x:v>
      </x:c>
      <x:c r="P135" s="14" t="str">
        <x:v>10.1108/ebr-11-2018-0203</x:v>
      </x:c>
      <x:c r="Q135" s="14" t="str"/>
      <x:c r="R135" s="17"/>
      <x:c r="S135" s="14" t="str"/>
      <x:c r="T135" s="14" t="str"/>
      <x:c r="U135" s="19" t="n">
        <x:v>46303</x:v>
      </x:c>
    </x:row>
    <x:row r="136" ht="68" customHeight="1">
      <x:c r="A136" s="14" t="str">
        <x:v>D-B56BB5DE</x:v>
      </x:c>
      <x:c r="B136" s="14" t="str">
        <x:v>需人工获取</x:v>
      </x:c>
      <x:c r="C136" s="14" t="str">
        <x:v>Bayesian structural equation modeling: A more flexible representation of substantive theory</x:v>
      </x:c>
      <x:c r="D136" s="14" t="str">
        <x:v>英文</x:v>
      </x:c>
      <x:c r="E136" s="15" t="str">
        <x:v>未处理</x:v>
      </x:c>
      <x:c r="F136" s="15" t="str"/>
      <x:c r="G136" s="16" t="str">
        <x:v>https://doi.org/10.1037/a0026802</x:v>
      </x:c>
      <x:c r="H136" s="14" t="str">
        <x:v>E10</x:v>
      </x:c>
      <x:c r="I136" s="14" t="str">
        <x:v>Muthén, B., &amp; Asparouhov, T.</x:v>
      </x:c>
      <x:c r="J136" s="18" t="n">
        <x:v>2012</x:v>
      </x:c>
      <x:c r="K136" s="14" t="str">
        <x:v>研究文献</x:v>
      </x:c>
      <x:c r="L136" s="14" t="str">
        <x:v>优先</x:v>
      </x:c>
      <x:c r="M136" s="14" t="str">
        <x:v>未取得全文；页面响应不能证明全文权限。</x:v>
      </x:c>
      <x:c r="N136" s="14" t="str">
        <x:v>从 DOI 或出版社页查看全文；也可使用学校图书馆或作者公开版本。</x:v>
      </x:c>
      <x:c r="O136" s="14" t="str">
        <x:v>BSEM 的原始文献，近似零先验的思想</x:v>
      </x:c>
      <x:c r="P136" s="14" t="str">
        <x:v>10.1037/a0026802</x:v>
      </x:c>
      <x:c r="Q136" s="14" t="str"/>
      <x:c r="R136" s="17"/>
      <x:c r="S136" s="14" t="str"/>
      <x:c r="T136" s="14" t="str"/>
      <x:c r="U136" s="19" t="n">
        <x:v>46303</x:v>
      </x:c>
    </x:row>
    <x:row r="137" ht="68" customHeight="1">
      <x:c r="A137" s="14" t="str">
        <x:v>D-5581EA4B</x:v>
      </x:c>
      <x:c r="B137" s="14" t="str">
        <x:v>需人工获取</x:v>
      </x:c>
      <x:c r="C137" s="14" t="str">
        <x:v>Regularized structural equation modeling</x:v>
      </x:c>
      <x:c r="D137" s="14" t="str">
        <x:v>英文</x:v>
      </x:c>
      <x:c r="E137" s="15" t="str">
        <x:v>未处理</x:v>
      </x:c>
      <x:c r="F137" s="15" t="str"/>
      <x:c r="G137" s="16" t="str">
        <x:v>https://doi.org/10.1080/10705511.2016.1154793</x:v>
      </x:c>
      <x:c r="H137" s="14" t="str">
        <x:v>E10</x:v>
      </x:c>
      <x:c r="I137" s="14" t="str">
        <x:v>Jacobucci, R., Grimm, K. J., &amp; McArdle, J. J.</x:v>
      </x:c>
      <x:c r="J137" s="18" t="n">
        <x:v>2016</x:v>
      </x:c>
      <x:c r="K137" s="14" t="str">
        <x:v>研究文献</x:v>
      </x:c>
      <x:c r="L137" s="14" t="str">
        <x:v>优先</x:v>
      </x:c>
      <x:c r="M137" s="14" t="str">
        <x:v>未取得全文；页面响应不能证明全文权限。</x:v>
      </x:c>
      <x:c r="N137" s="14" t="str">
        <x:v>从 DOI 或出版社页查看全文；也可使用学校图书馆或作者公开版本。</x:v>
      </x:c>
      <x:c r="O137" s="14" t="str">
        <x:v>regsem 的理论</x:v>
      </x:c>
      <x:c r="P137" s="14" t="str">
        <x:v>10.1080/10705511.2016.1154793</x:v>
      </x:c>
      <x:c r="Q137" s="14" t="str"/>
      <x:c r="R137" s="17"/>
      <x:c r="S137" s="14" t="str"/>
      <x:c r="T137" s="14" t="str"/>
      <x:c r="U137" s="19" t="n">
        <x:v>46303</x:v>
      </x:c>
    </x:row>
    <x:row r="138" ht="68" customHeight="1">
      <x:c r="A138" s="14" t="str">
        <x:v>D-A68B1F35</x:v>
      </x:c>
      <x:c r="B138" s="14" t="str">
        <x:v>需人工获取</x:v>
      </x:c>
      <x:c r="C138" s="14" t="str">
        <x:v>A structural after measurement approach to structural equation modeling.</x:v>
      </x:c>
      <x:c r="D138" s="14" t="str">
        <x:v>英文</x:v>
      </x:c>
      <x:c r="E138" s="15" t="str">
        <x:v>未处理</x:v>
      </x:c>
      <x:c r="F138" s="15" t="str"/>
      <x:c r="G138" s="16" t="str">
        <x:v>https://doi.org/10.1037/met0000503</x:v>
      </x:c>
      <x:c r="H138" s="14" t="str">
        <x:v>E11</x:v>
      </x:c>
      <x:c r="I138" s="14" t="str">
        <x:v>Yves Rosseel; Wen Wei Loh</x:v>
      </x:c>
      <x:c r="J138" s="18" t="n">
        <x:v>2024</x:v>
      </x:c>
      <x:c r="K138" s="14" t="str">
        <x:v>研究文献</x:v>
      </x:c>
      <x:c r="L138" s="14" t="str">
        <x:v>优先</x:v>
      </x:c>
      <x:c r="M138" s="14" t="str">
        <x:v>未取得全文；页面响应不能证明全文权限。</x:v>
      </x:c>
      <x:c r="N138" s="14" t="str">
        <x:v>从 DOI 或出版社页查看全文；也可使用学校图书馆或作者公开版本。</x:v>
      </x:c>
      <x:c r="O138" s="14" t="str">
        <x:v>SAM 框架原文（先在线发表，2024 卷期）；与 2026 非线性效应评估对读。</x:v>
      </x:c>
      <x:c r="P138" s="14" t="str">
        <x:v>10.1037/met0000503</x:v>
      </x:c>
      <x:c r="Q138" s="14" t="str"/>
      <x:c r="R138" s="17"/>
      <x:c r="S138" s="14" t="str"/>
      <x:c r="T138" s="14" t="str"/>
      <x:c r="U138" s="19" t="n">
        <x:v>46303</x:v>
      </x:c>
    </x:row>
    <x:row r="139" ht="68" customHeight="1">
      <x:c r="A139" s="14" t="str">
        <x:v>D-F00F1C26</x:v>
      </x:c>
      <x:c r="B139" s="14" t="str">
        <x:v>需人工获取</x:v>
      </x:c>
      <x:c r="C139" s="14" t="str">
        <x:v>Centering predictor variables in cross-sectional multilevel models: A new look at an old issue</x:v>
      </x:c>
      <x:c r="D139" s="14" t="str">
        <x:v>英文</x:v>
      </x:c>
      <x:c r="E139" s="15" t="str">
        <x:v>未处理</x:v>
      </x:c>
      <x:c r="F139" s="15" t="str"/>
      <x:c r="G139" s="16" t="str">
        <x:v>https://doi.org/10.1037/1082-989x.12.2.121</x:v>
      </x:c>
      <x:c r="H139" s="14" t="str">
        <x:v>F01</x:v>
      </x:c>
      <x:c r="I139" s="14" t="str">
        <x:v>Enders, C. K., &amp; Tofighi, D.</x:v>
      </x:c>
      <x:c r="J139" s="18" t="n">
        <x:v>2007</x:v>
      </x:c>
      <x:c r="K139" s="14" t="str">
        <x:v>研究文献</x:v>
      </x:c>
      <x:c r="L139" s="14" t="str">
        <x:v>优先</x:v>
      </x:c>
      <x:c r="M139" s="14" t="str">
        <x:v>未取得全文；页面响应不能证明全文权限。</x:v>
      </x:c>
      <x:c r="N139" s="14" t="str">
        <x:v>从 DOI 或出版社页查看全文；也可使用学校图书馆或作者公开版本。</x:v>
      </x:c>
      <x:c r="O139" s="14" t="str">
        <x:v>**做多层模型前必读**。中心化选择的权威指南，直接决定你的系数意味着什么</x:v>
      </x:c>
      <x:c r="P139" s="14" t="str">
        <x:v>10.1037/1082-989x.12.2.121</x:v>
      </x:c>
      <x:c r="Q139" s="14" t="str"/>
      <x:c r="R139" s="17"/>
      <x:c r="S139" s="14" t="str"/>
      <x:c r="T139" s="14" t="str"/>
      <x:c r="U139" s="19" t="n">
        <x:v>46303</x:v>
      </x:c>
    </x:row>
    <x:row r="140" ht="68" customHeight="1">
      <x:c r="A140" s="14" t="str">
        <x:v>D-B9453DD0</x:v>
      </x:c>
      <x:c r="B140" s="14" t="str">
        <x:v>需人工获取</x:v>
      </x:c>
      <x:c r="C140" s="14" t="str">
        <x:v>Hierarchical Linear Models: Applications and Data Analysis Methods (2nd ed.)</x:v>
      </x:c>
      <x:c r="D140" s="14" t="str">
        <x:v>英文</x:v>
      </x:c>
      <x:c r="E140" s="15" t="str">
        <x:v>未处理</x:v>
      </x:c>
      <x:c r="F140" s="15" t="str"/>
      <x:c r="G140" s="16" t="str">
        <x:v>https://uk.sagepub.com/en-gb/afr/hierarchical-linear-models/book9230</x:v>
      </x:c>
      <x:c r="H140" s="14" t="str">
        <x:v>F01</x:v>
      </x:c>
      <x:c r="I140" s="14" t="str">
        <x:v>Raudenbush, S. W., &amp; Bryk, A. S.</x:v>
      </x:c>
      <x:c r="J140" s="18" t="n">
        <x:v>2002</x:v>
      </x:c>
      <x:c r="K140" s="14" t="str">
        <x:v>研究文献</x:v>
      </x:c>
      <x:c r="L140" s="14" t="str">
        <x:v>优先</x:v>
      </x:c>
      <x:c r="M140" s="14" t="str">
        <x:v>未取得全文；页面响应不能证明全文权限。</x:v>
      </x:c>
      <x:c r="N140" s="14" t="str">
        <x:v>从 DOI 或出版社页查看全文；也可使用学校图书馆或作者公开版本。</x:v>
      </x:c>
      <x:c r="O140" s="14" t="str">
        <x:v>这个领域的标准教材</x:v>
      </x:c>
      <x:c r="P140" s="14" t="str"/>
      <x:c r="Q140" s="14" t="str"/>
      <x:c r="R140" s="17"/>
      <x:c r="S140" s="14" t="str"/>
      <x:c r="T140" s="14" t="str"/>
      <x:c r="U140" s="19" t="n">
        <x:v>46303</x:v>
      </x:c>
    </x:row>
    <x:row r="141" ht="68" customHeight="1">
      <x:c r="A141" s="14" t="str">
        <x:v>D-B0DBC535</x:v>
      </x:c>
      <x:c r="B141" s="14" t="str">
        <x:v>需人工获取</x:v>
      </x:c>
      <x:c r="C141" s="14" t="str">
        <x:v>Random effects structure for confirmatory hypothesis testing: Keep it maximal</x:v>
      </x:c>
      <x:c r="D141" s="14" t="str">
        <x:v>英文</x:v>
      </x:c>
      <x:c r="E141" s="15" t="str">
        <x:v>未处理</x:v>
      </x:c>
      <x:c r="F141" s="15" t="str"/>
      <x:c r="G141" s="16" t="str">
        <x:v>https://doi.org/10.31234/osf.io/39mhs</x:v>
      </x:c>
      <x:c r="H141" s="14" t="str">
        <x:v>F01</x:v>
      </x:c>
      <x:c r="I141" s="14" t="str">
        <x:v>Barr, D. J., Levy, R., Scheepers, C., &amp; Tily, H. J.</x:v>
      </x:c>
      <x:c r="J141" s="18" t="n">
        <x:v>2013</x:v>
      </x:c>
      <x:c r="K141" s="14" t="str">
        <x:v>研究文献</x:v>
      </x:c>
      <x:c r="L141" s="14" t="str">
        <x:v>优先</x:v>
      </x:c>
      <x:c r="M141" s="14" t="str">
        <x:v>未取得全文；页面响应不能证明全文权限。</x:v>
      </x:c>
      <x:c r="N141" s="14" t="str">
        <x:v>从 DOI 或出版社页查看全文；也可使用学校图书馆或作者公开版本。</x:v>
      </x:c>
      <x:c r="O141" s="14" t="str">
        <x:v>随机效应结构该多复杂的经典争论（与 Bates 等的「parsimonious」立场对读） 链接为作者公开稿或工作论文，可能与正式发表版在年份、题名或内容上不同；引用时请核对所用版本。</x:v>
      </x:c>
      <x:c r="P141" s="14" t="str">
        <x:v>10.31234/osf.io/39mhs</x:v>
      </x:c>
      <x:c r="Q141" s="14" t="str"/>
      <x:c r="R141" s="17"/>
      <x:c r="S141" s="14" t="str"/>
      <x:c r="T141" s="14" t="str"/>
      <x:c r="U141" s="19" t="n">
        <x:v>46303</x:v>
      </x:c>
    </x:row>
    <x:row r="142" ht="68" customHeight="1">
      <x:c r="A142" s="14" t="str">
        <x:v>D-6DD04991</x:v>
      </x:c>
      <x:c r="B142" s="14" t="str">
        <x:v>需人工获取</x:v>
      </x:c>
      <x:c r="C142" s="14" t="str">
        <x:v>A general multilevel SEM framework for assessing multilevel mediation</x:v>
      </x:c>
      <x:c r="D142" s="14" t="str">
        <x:v>英文</x:v>
      </x:c>
      <x:c r="E142" s="15" t="str">
        <x:v>未处理</x:v>
      </x:c>
      <x:c r="F142" s="15" t="str"/>
      <x:c r="G142" s="16" t="str">
        <x:v>https://doi.org/10.1037/a0020141</x:v>
      </x:c>
      <x:c r="H142" s="14" t="str">
        <x:v>F02</x:v>
      </x:c>
      <x:c r="I142" s="14" t="str">
        <x:v>Preacher, K. J., Zyphur, M. J., &amp; Zhang, Z.</x:v>
      </x:c>
      <x:c r="J142" s="18" t="n">
        <x:v>2010</x:v>
      </x:c>
      <x:c r="K142" s="14" t="str">
        <x:v>研究文献</x:v>
      </x:c>
      <x:c r="L142" s="14" t="str">
        <x:v>优先</x:v>
      </x:c>
      <x:c r="M142" s="14" t="str">
        <x:v>未取得全文；页面响应不能证明全文权限。</x:v>
      </x:c>
      <x:c r="N142" s="14" t="str">
        <x:v>从 DOI 或出版社页查看全文；也可使用学校图书馆或作者公开版本。</x:v>
      </x:c>
      <x:c r="O142" s="14" t="str">
        <x:v>**多层中介的正确框架**（MSEM），解决了「混合层次偏误」</x:v>
      </x:c>
      <x:c r="P142" s="14" t="str">
        <x:v>10.1037/a0020141</x:v>
      </x:c>
      <x:c r="Q142" s="14" t="str"/>
      <x:c r="R142" s="17"/>
      <x:c r="S142" s="14" t="str"/>
      <x:c r="T142" s="14" t="str"/>
      <x:c r="U142" s="19" t="n">
        <x:v>46303</x:v>
      </x:c>
    </x:row>
    <x:row r="143" ht="68" customHeight="1">
      <x:c r="A143" s="14" t="str">
        <x:v>D-D3CC0B3C</x:v>
      </x:c>
      <x:c r="B143" s="14" t="str">
        <x:v>需人工获取</x:v>
      </x:c>
      <x:c r="C143" s="14" t="str">
        <x:v>Conceptualizing and testing random indirect effects and moderated mediation in multilevel models</x:v>
      </x:c>
      <x:c r="D143" s="14" t="str">
        <x:v>英文</x:v>
      </x:c>
      <x:c r="E143" s="15" t="str">
        <x:v>未处理</x:v>
      </x:c>
      <x:c r="F143" s="15" t="str"/>
      <x:c r="G143" s="16" t="str">
        <x:v>https://doi.org/10.1037/1082-989x.11.2.142</x:v>
      </x:c>
      <x:c r="H143" s="14" t="str">
        <x:v>F02</x:v>
      </x:c>
      <x:c r="I143" s="14" t="str">
        <x:v>Bauer, D. J., Preacher, K. J., &amp; Gil, K. M.</x:v>
      </x:c>
      <x:c r="J143" s="18" t="n">
        <x:v>2006</x:v>
      </x:c>
      <x:c r="K143" s="14" t="str">
        <x:v>研究文献</x:v>
      </x:c>
      <x:c r="L143" s="14" t="str">
        <x:v>优先</x:v>
      </x:c>
      <x:c r="M143" s="14" t="str">
        <x:v>未取得全文；页面响应不能证明全文权限。</x:v>
      </x:c>
      <x:c r="N143" s="14" t="str">
        <x:v>从 DOI 或出版社页查看全文；也可使用学校图书馆或作者公开版本。</x:v>
      </x:c>
      <x:c r="O143" s="14" t="str">
        <x:v>随机斜率时间接效应还要加 cov(a,b) 项</x:v>
      </x:c>
      <x:c r="P143" s="14" t="str">
        <x:v>10.1037/1082-989x.11.2.142</x:v>
      </x:c>
      <x:c r="Q143" s="14" t="str"/>
      <x:c r="R143" s="17"/>
      <x:c r="S143" s="14" t="str"/>
      <x:c r="T143" s="14" t="str"/>
      <x:c r="U143" s="19" t="n">
        <x:v>46303</x:v>
      </x:c>
    </x:row>
    <x:row r="144" ht="68" customHeight="1">
      <x:c r="A144" s="14" t="str">
        <x:v>D-93F32803</x:v>
      </x:c>
      <x:c r="B144" s="14" t="str">
        <x:v>需人工获取</x:v>
      </x:c>
      <x:c r="C144" s="14" t="str">
        <x:v>Mixed-effects modeling with crossed random effects for subjects and items</x:v>
      </x:c>
      <x:c r="D144" s="14" t="str">
        <x:v>英文</x:v>
      </x:c>
      <x:c r="E144" s="15" t="str">
        <x:v>未处理</x:v>
      </x:c>
      <x:c r="F144" s="15" t="str"/>
      <x:c r="G144" s="16" t="str">
        <x:v>https://doi.org/10.1016/j.jml.2007.12.005</x:v>
      </x:c>
      <x:c r="H144" s="14" t="str">
        <x:v>F03</x:v>
      </x:c>
      <x:c r="I144" s="14" t="str">
        <x:v>Baayen, R. H., Davidson, D. J., &amp; Bates, D. M.</x:v>
      </x:c>
      <x:c r="J144" s="18" t="n">
        <x:v>2008</x:v>
      </x:c>
      <x:c r="K144" s="14" t="str">
        <x:v>研究文献</x:v>
      </x:c>
      <x:c r="L144" s="14" t="str">
        <x:v>优先</x:v>
      </x:c>
      <x:c r="M144" s="14" t="str">
        <x:v>未取得全文；页面响应不能证明全文权限。</x:v>
      </x:c>
      <x:c r="N144" s="14" t="str">
        <x:v>从 DOI 或出版社页查看全文；也可使用学校图书馆或作者公开版本。</x:v>
      </x:c>
      <x:c r="O144" s="14" t="str">
        <x:v>交叉随机效应模型在心理语言学的确立</x:v>
      </x:c>
      <x:c r="P144" s="14" t="str">
        <x:v>10.1016/j.jml.2007.12.005</x:v>
      </x:c>
      <x:c r="Q144" s="14" t="str"/>
      <x:c r="R144" s="17"/>
      <x:c r="S144" s="14" t="str"/>
      <x:c r="T144" s="14" t="str"/>
      <x:c r="U144" s="19" t="n">
        <x:v>46303</x:v>
      </x:c>
    </x:row>
    <x:row r="145" ht="68" customHeight="1">
      <x:c r="A145" s="14" t="str">
        <x:v>D-DD4D9D5D</x:v>
      </x:c>
      <x:c r="B145" s="14" t="str">
        <x:v>需人工获取</x:v>
      </x:c>
      <x:c r="C145" s="14" t="str">
        <x:v>Statistical power and optimal design in experiments in which samples of participants respond to samples of stimuli</x:v>
      </x:c>
      <x:c r="D145" s="14" t="str">
        <x:v>英文</x:v>
      </x:c>
      <x:c r="E145" s="15" t="str">
        <x:v>未处理</x:v>
      </x:c>
      <x:c r="F145" s="15" t="str"/>
      <x:c r="G145" s="16" t="str">
        <x:v>https://doi.org/10.1037/xge0000014</x:v>
      </x:c>
      <x:c r="H145" s="14" t="str">
        <x:v>F03</x:v>
      </x:c>
      <x:c r="I145" s="14" t="str">
        <x:v>Westfall, J., Kenny, D. A., &amp; Judd, C. M.</x:v>
      </x:c>
      <x:c r="J145" s="18" t="n">
        <x:v>2014</x:v>
      </x:c>
      <x:c r="K145" s="14" t="str">
        <x:v>研究文献</x:v>
      </x:c>
      <x:c r="L145" s="14" t="str">
        <x:v>优先</x:v>
      </x:c>
      <x:c r="M145" s="14" t="str">
        <x:v>未取得全文；页面响应不能证明全文权限。</x:v>
      </x:c>
      <x:c r="N145" s="14" t="str">
        <x:v>从 DOI 或出版社页查看全文；也可使用学校图书馆或作者公开版本。</x:v>
      </x:c>
      <x:c r="O145" s="14" t="str">
        <x:v>**这类设计的检验力规划**，含在线计算工具</x:v>
      </x:c>
      <x:c r="P145" s="14" t="str">
        <x:v>10.1037/xge0000014</x:v>
      </x:c>
      <x:c r="Q145" s="14" t="str"/>
      <x:c r="R145" s="17"/>
      <x:c r="S145" s="14" t="str"/>
      <x:c r="T145" s="14" t="str"/>
      <x:c r="U145" s="19" t="n">
        <x:v>46303</x:v>
      </x:c>
    </x:row>
    <x:row r="146" ht="68" customHeight="1">
      <x:c r="A146" s="14" t="str">
        <x:v>D-493B8D2B</x:v>
      </x:c>
      <x:c r="B146" s="14" t="str">
        <x:v>需人工获取</x:v>
      </x:c>
      <x:c r="C146" s="14" t="str">
        <x:v>Assessing mediation in dyadic data using the actor-partner interdependence model</x:v>
      </x:c>
      <x:c r="D146" s="14" t="str">
        <x:v>英文</x:v>
      </x:c>
      <x:c r="E146" s="15" t="str">
        <x:v>未处理</x:v>
      </x:c>
      <x:c r="F146" s="15" t="str"/>
      <x:c r="G146" s="16" t="str">
        <x:v>https://doi.org/10.1080/10705511.2011.607099</x:v>
      </x:c>
      <x:c r="H146" s="14" t="str">
        <x:v>F04</x:v>
      </x:c>
      <x:c r="I146" s="14" t="str">
        <x:v>Ledermann, T., Macho, S., &amp; Kenny, D. A.</x:v>
      </x:c>
      <x:c r="J146" s="18" t="n">
        <x:v>2011</x:v>
      </x:c>
      <x:c r="K146" s="14" t="str">
        <x:v>研究文献</x:v>
      </x:c>
      <x:c r="L146" s="14" t="str">
        <x:v>优先</x:v>
      </x:c>
      <x:c r="M146" s="14" t="str">
        <x:v>未取得全文；页面响应不能证明全文权限。</x:v>
      </x:c>
      <x:c r="N146" s="14" t="str">
        <x:v>从 DOI 或出版社页查看全文；也可使用学校图书馆或作者公开版本。</x:v>
      </x:c>
      <x:c r="O146" s="14" t="str">
        <x:v>二人数据里的中介分析</x:v>
      </x:c>
      <x:c r="P146" s="14" t="str">
        <x:v>10.1080/10705511.2011.607099</x:v>
      </x:c>
      <x:c r="Q146" s="14" t="str"/>
      <x:c r="R146" s="17"/>
      <x:c r="S146" s="14" t="str"/>
      <x:c r="T146" s="14" t="str"/>
      <x:c r="U146" s="19" t="n">
        <x:v>46303</x:v>
      </x:c>
    </x:row>
    <x:row r="147" ht="68" customHeight="1">
      <x:c r="A147" s="14" t="str">
        <x:v>D-2A9CE082</x:v>
      </x:c>
      <x:c r="B147" s="14" t="str">
        <x:v>需人工获取</x:v>
      </x:c>
      <x:c r="C147" s="14" t="str">
        <x:v>Models of non-independence in dyadic research</x:v>
      </x:c>
      <x:c r="D147" s="14" t="str">
        <x:v>英文</x:v>
      </x:c>
      <x:c r="E147" s="15" t="str">
        <x:v>未处理</x:v>
      </x:c>
      <x:c r="F147" s="15" t="str"/>
      <x:c r="G147" s="16" t="str">
        <x:v>https://doi.org/10.1177/0265407596132007</x:v>
      </x:c>
      <x:c r="H147" s="14" t="str">
        <x:v>F04</x:v>
      </x:c>
      <x:c r="I147" s="14" t="str">
        <x:v>Kenny, D. A.</x:v>
      </x:c>
      <x:c r="J147" s="18" t="n">
        <x:v>1996</x:v>
      </x:c>
      <x:c r="K147" s="14" t="str">
        <x:v>研究文献</x:v>
      </x:c>
      <x:c r="L147" s="14" t="str">
        <x:v>优先</x:v>
      </x:c>
      <x:c r="M147" s="14" t="str">
        <x:v>未取得全文；页面响应不能证明全文权限。</x:v>
      </x:c>
      <x:c r="N147" s="14" t="str">
        <x:v>从 DOI 或出版社页查看全文；也可使用学校图书馆或作者公开版本。</x:v>
      </x:c>
      <x:c r="O147" s="14" t="str">
        <x:v>APIM 的来源</x:v>
      </x:c>
      <x:c r="P147" s="14" t="str">
        <x:v>10.1177/0265407596132007</x:v>
      </x:c>
      <x:c r="Q147" s="14" t="str"/>
      <x:c r="R147" s="17"/>
      <x:c r="S147" s="14" t="str"/>
      <x:c r="T147" s="14" t="str"/>
      <x:c r="U147" s="19" t="n">
        <x:v>46303</x:v>
      </x:c>
    </x:row>
    <x:row r="148" ht="68" customHeight="1">
      <x:c r="A148" s="14" t="str">
        <x:v>D-4B4868F1</x:v>
      </x:c>
      <x:c r="B148" s="14" t="str">
        <x:v>需人工获取</x:v>
      </x:c>
      <x:c r="C148" s="14" t="str">
        <x:v>The social relations model</x:v>
      </x:c>
      <x:c r="D148" s="14" t="str">
        <x:v>英文</x:v>
      </x:c>
      <x:c r="E148" s="15" t="str">
        <x:v>未处理</x:v>
      </x:c>
      <x:c r="F148" s="15" t="str"/>
      <x:c r="G148" s="16" t="str">
        <x:v>https://doi.org/10.1016/s0065-2601(08)60144-6</x:v>
      </x:c>
      <x:c r="H148" s="14" t="str">
        <x:v>F04</x:v>
      </x:c>
      <x:c r="I148" s="14" t="str">
        <x:v>Kenny, D. A., &amp; La Voie, L.</x:v>
      </x:c>
      <x:c r="J148" s="18" t="n">
        <x:v>1984</x:v>
      </x:c>
      <x:c r="K148" s="14" t="str">
        <x:v>研究文献</x:v>
      </x:c>
      <x:c r="L148" s="14" t="str">
        <x:v>优先</x:v>
      </x:c>
      <x:c r="M148" s="14" t="str">
        <x:v>未取得全文；页面响应不能证明全文权限。</x:v>
      </x:c>
      <x:c r="N148" s="14" t="str">
        <x:v>从 DOI 或出版社页查看全文；也可使用学校图书馆或作者公开版本。</x:v>
      </x:c>
      <x:c r="O148" s="14" t="str">
        <x:v>SRM 的原始文献</x:v>
      </x:c>
      <x:c r="P148" s="14" t="str">
        <x:v>10.1016/s0065-2601(08)60144-6</x:v>
      </x:c>
      <x:c r="Q148" s="14" t="str"/>
      <x:c r="R148" s="17"/>
      <x:c r="S148" s="14" t="str"/>
      <x:c r="T148" s="14" t="str"/>
      <x:c r="U148" s="19" t="n">
        <x:v>46303</x:v>
      </x:c>
    </x:row>
    <x:row r="149" ht="68" customHeight="1">
      <x:c r="A149" s="14" t="str">
        <x:v>D-8B9C654D</x:v>
      </x:c>
      <x:c r="B149" s="14" t="str">
        <x:v>需人工获取</x:v>
      </x:c>
      <x:c r="C149" s="14" t="str">
        <x:v>Fixed Effects Regression Models</x:v>
      </x:c>
      <x:c r="D149" s="14" t="str">
        <x:v>英文</x:v>
      </x:c>
      <x:c r="E149" s="15" t="str">
        <x:v>未处理</x:v>
      </x:c>
      <x:c r="F149" s="15" t="str"/>
      <x:c r="G149" s="16" t="str">
        <x:v>https://doi.org/10.4135/9781412993869</x:v>
      </x:c>
      <x:c r="H149" s="14" t="str">
        <x:v>F05</x:v>
      </x:c>
      <x:c r="I149" s="14" t="str">
        <x:v>Allison, P. D.</x:v>
      </x:c>
      <x:c r="J149" s="18" t="n">
        <x:v>2009</x:v>
      </x:c>
      <x:c r="K149" s="14" t="str">
        <x:v>研究文献</x:v>
      </x:c>
      <x:c r="L149" s="14" t="str">
        <x:v>优先</x:v>
      </x:c>
      <x:c r="M149" s="14" t="str">
        <x:v>未取得全文；页面响应不能证明全文权限。</x:v>
      </x:c>
      <x:c r="N149" s="14" t="str">
        <x:v>从 DOI 或出版社页查看全文；也可使用学校图书馆或作者公开版本。</x:v>
      </x:c>
      <x:c r="O149" s="14" t="str">
        <x:v>**写给社会科学的固定效应教材**，篇幅短、可读性高</x:v>
      </x:c>
      <x:c r="P149" s="14" t="str">
        <x:v>10.4135/9781412993869</x:v>
      </x:c>
      <x:c r="Q149" s="14" t="str"/>
      <x:c r="R149" s="17"/>
      <x:c r="S149" s="14" t="str"/>
      <x:c r="T149" s="14" t="str"/>
      <x:c r="U149" s="19" t="n">
        <x:v>46303</x:v>
      </x:c>
    </x:row>
    <x:row r="150" ht="68" customHeight="1">
      <x:c r="A150" s="14" t="str">
        <x:v>D-E18F8EB9</x:v>
      </x:c>
      <x:c r="B150" s="14" t="str">
        <x:v>需人工获取</x:v>
      </x:c>
      <x:c r="C150" s="14" t="str">
        <x:v>On the pooling of time series and cross section data</x:v>
      </x:c>
      <x:c r="D150" s="14" t="str">
        <x:v>英文</x:v>
      </x:c>
      <x:c r="E150" s="15" t="str">
        <x:v>未处理</x:v>
      </x:c>
      <x:c r="F150" s="15" t="str"/>
      <x:c r="G150" s="16" t="str">
        <x:v>https://doi.org/10.2307/1913646</x:v>
      </x:c>
      <x:c r="H150" s="14" t="str">
        <x:v>F05</x:v>
      </x:c>
      <x:c r="I150" s="14" t="str">
        <x:v>Mundlak, Y.</x:v>
      </x:c>
      <x:c r="J150" s="18" t="n">
        <x:v>1978</x:v>
      </x:c>
      <x:c r="K150" s="14" t="str">
        <x:v>研究文献</x:v>
      </x:c>
      <x:c r="L150" s="14" t="str">
        <x:v>优先</x:v>
      </x:c>
      <x:c r="M150" s="14" t="str">
        <x:v>未取得全文；页面响应不能证明全文权限。</x:v>
      </x:c>
      <x:c r="N150" s="14" t="str">
        <x:v>从 DOI 或出版社页查看全文；也可使用学校图书馆或作者公开版本。</x:v>
      </x:c>
      <x:c r="O150" s="14" t="str">
        <x:v>Mundlak 设定：把 FE 与 RE 统一起来</x:v>
      </x:c>
      <x:c r="P150" s="14" t="str">
        <x:v>10.2307/1913646</x:v>
      </x:c>
      <x:c r="Q150" s="14" t="str"/>
      <x:c r="R150" s="17"/>
      <x:c r="S150" s="14" t="str"/>
      <x:c r="T150" s="14" t="str"/>
      <x:c r="U150" s="19" t="n">
        <x:v>46303</x:v>
      </x:c>
    </x:row>
    <x:row r="151" ht="68" customHeight="1">
      <x:c r="A151" s="14" t="str">
        <x:v>D-02DB6301</x:v>
      </x:c>
      <x:c r="B151" s="14" t="str">
        <x:v>需人工获取</x:v>
      </x:c>
      <x:c r="C151" s="14" t="str">
        <x:v>Analysis of Time-to-Event Data With Two Time Scales. An Application to Transitions out of Cohabitation</x:v>
      </x:c>
      <x:c r="D151" s="14" t="str">
        <x:v>英文</x:v>
      </x:c>
      <x:c r="E151" s="15" t="str">
        <x:v>未处理</x:v>
      </x:c>
      <x:c r="F151" s="15" t="str"/>
      <x:c r="G151" s="16" t="str">
        <x:v>https://doi.org/10.1177/00491241251374193</x:v>
      </x:c>
      <x:c r="H151" s="14" t="str">
        <x:v>F07；F08；H10；H11</x:v>
      </x:c>
      <x:c r="I151" s="14" t="str">
        <x:v>Angela Carollo; Hein Putter; Paul H.C. Eilers; Jutta Gampe</x:v>
      </x:c>
      <x:c r="J151" s="18" t="n">
        <x:v>2026</x:v>
      </x:c>
      <x:c r="K151" s="14" t="str">
        <x:v>研究文献</x:v>
      </x:c>
      <x:c r="L151" s="14" t="str">
        <x:v>优先</x:v>
      </x:c>
      <x:c r="M151" s="14" t="str">
        <x:v>未取得全文；页面响应不能证明全文权限。</x:v>
      </x:c>
      <x:c r="N151" s="14" t="str">
        <x:v>从 DOI 或出版社页查看全文；也可使用学校图书馆或作者公开版本。</x:v>
      </x:c>
      <x:c r="O151" s="14" t="str">
        <x:v>同时按年龄与持续时长建模事件风险的双时间尺度方法。</x:v>
      </x:c>
      <x:c r="P151" s="14" t="str">
        <x:v>10.1177/00491241251374193</x:v>
      </x:c>
      <x:c r="Q151" s="14" t="str"/>
      <x:c r="R151" s="17"/>
      <x:c r="S151" s="14" t="str"/>
      <x:c r="T151" s="14" t="str"/>
      <x:c r="U151" s="19" t="n">
        <x:v>46303</x:v>
      </x:c>
    </x:row>
    <x:row r="152" ht="68" customHeight="1">
      <x:c r="A152" s="14" t="str">
        <x:v>D-F0F940DE</x:v>
      </x:c>
      <x:c r="B152" s="14" t="str">
        <x:v>需人工获取</x:v>
      </x:c>
      <x:c r="C152" s="14" t="str">
        <x:v>Dynamic latent class structural equation modeling: A hands-on tutorial for modeling intensive longitudinal data.</x:v>
      </x:c>
      <x:c r="D152" s="14" t="str">
        <x:v>英文</x:v>
      </x:c>
      <x:c r="E152" s="15" t="str">
        <x:v>未处理</x:v>
      </x:c>
      <x:c r="F152" s="15" t="str"/>
      <x:c r="G152" s="16" t="str">
        <x:v>https://doi.org/10.1037/met0000849</x:v>
      </x:c>
      <x:c r="H152" s="14" t="str">
        <x:v>F07；F08；H10；H11</x:v>
      </x:c>
      <x:c r="I152" s="14" t="str">
        <x:v>Roberto Faleh; Sofia Morelli; Vivato Andriamiarana; Zachary J. Roman; Christoph Flückiger; Holger Brandt</x:v>
      </x:c>
      <x:c r="J152" s="18" t="n">
        <x:v>2026</x:v>
      </x:c>
      <x:c r="K152" s="14" t="str">
        <x:v>研究文献</x:v>
      </x:c>
      <x:c r="L152" s="14" t="str">
        <x:v>优先</x:v>
      </x:c>
      <x:c r="M152" s="14" t="str">
        <x:v>未取得全文；页面响应不能证明全文权限。</x:v>
      </x:c>
      <x:c r="N152" s="14" t="str">
        <x:v>从 DOI 或出版社页查看全文；也可使用学校图书馆或作者公开版本。</x:v>
      </x:c>
      <x:c r="O152" s="14" t="str">
        <x:v>把动态 SEM 与潜在状态切换连接起来的实作教程。</x:v>
      </x:c>
      <x:c r="P152" s="14" t="str">
        <x:v>10.1037/met0000849</x:v>
      </x:c>
      <x:c r="Q152" s="14" t="str"/>
      <x:c r="R152" s="17"/>
      <x:c r="S152" s="14" t="str"/>
      <x:c r="T152" s="14" t="str"/>
      <x:c r="U152" s="19" t="n">
        <x:v>46303</x:v>
      </x:c>
    </x:row>
    <x:row r="153" ht="68" customHeight="1">
      <x:c r="A153" s="14" t="str">
        <x:v>D-9126B314</x:v>
      </x:c>
      <x:c r="B153" s="14" t="str">
        <x:v>需人工获取</x:v>
      </x:c>
      <x:c r="C153" s="14" t="str">
        <x:v>The Statistical Advantages of Multilevel Analysis of Individual Heterogeneity and Discriminatory Accuracy for Estimating Intersectional Inequalities</x:v>
      </x:c>
      <x:c r="D153" s="14" t="str">
        <x:v>英文</x:v>
      </x:c>
      <x:c r="E153" s="15" t="str">
        <x:v>未处理</x:v>
      </x:c>
      <x:c r="F153" s="15" t="str"/>
      <x:c r="G153" s="16" t="str">
        <x:v>https://doi.org/10.1177/00491241251385123</x:v>
      </x:c>
      <x:c r="H153" s="14" t="str">
        <x:v>F07；F08；H10；H11</x:v>
      </x:c>
      <x:c r="I153" s="14" t="str">
        <x:v>George Leckie; Andrew Bell; Juan Merlo; SV Subramanian; Clare Evans</x:v>
      </x:c>
      <x:c r="J153" s="18" t="n">
        <x:v>2025</x:v>
      </x:c>
      <x:c r="K153" s="14" t="str">
        <x:v>研究文献</x:v>
      </x:c>
      <x:c r="L153" s="14" t="str">
        <x:v>优先</x:v>
      </x:c>
      <x:c r="M153" s="14" t="str">
        <x:v>未取得全文；页面响应不能证明全文权限。</x:v>
      </x:c>
      <x:c r="N153" s="14" t="str">
        <x:v>从 DOI 或出版社页查看全文；也可使用学校图书馆或作者公开版本。</x:v>
      </x:c>
      <x:c r="O153" s="14" t="str">
        <x:v>评估交叉身份单元部分汇聚的统计优势；不是交叉性理论的起源。</x:v>
      </x:c>
      <x:c r="P153" s="14" t="str">
        <x:v>10.1177/00491241251385123</x:v>
      </x:c>
      <x:c r="Q153" s="14" t="str"/>
      <x:c r="R153" s="17"/>
      <x:c r="S153" s="14" t="str"/>
      <x:c r="T153" s="14" t="str"/>
      <x:c r="U153" s="19" t="n">
        <x:v>46303</x:v>
      </x:c>
    </x:row>
    <x:row r="154" ht="68" customHeight="1">
      <x:c r="A154" s="14" t="str">
        <x:v>D-49BEF24C</x:v>
      </x:c>
      <x:c r="B154" s="14" t="str">
        <x:v>需人工获取</x:v>
      </x:c>
      <x:c r="C154" s="14" t="str">
        <x:v>Causal Inference for Statistics, Social, and Biomedical Sciences</x:v>
      </x:c>
      <x:c r="D154" s="14" t="str">
        <x:v>英文</x:v>
      </x:c>
      <x:c r="E154" s="15" t="str">
        <x:v>未处理</x:v>
      </x:c>
      <x:c r="F154" s="15" t="str"/>
      <x:c r="G154" s="16" t="str">
        <x:v>https://doi.org/10.1017/cbo9781139025751</x:v>
      </x:c>
      <x:c r="H154" s="14" t="str">
        <x:v>G01</x:v>
      </x:c>
      <x:c r="I154" s="14" t="str">
        <x:v>Imbens, G. W., &amp; Rubin, D. B.</x:v>
      </x:c>
      <x:c r="J154" s="18" t="n">
        <x:v>2015</x:v>
      </x:c>
      <x:c r="K154" s="14" t="str">
        <x:v>研究文献</x:v>
      </x:c>
      <x:c r="L154" s="14" t="str">
        <x:v>优先</x:v>
      </x:c>
      <x:c r="M154" s="14" t="str">
        <x:v>未取得全文；页面响应不能证明全文权限。</x:v>
      </x:c>
      <x:c r="N154" s="14" t="str">
        <x:v>从 DOI 或出版社页查看全文；也可使用学校图书馆或作者公开版本。</x:v>
      </x:c>
      <x:c r="O154" s="14" t="str">
        <x:v>这个框架的标准教材，体系完整</x:v>
      </x:c>
      <x:c r="P154" s="14" t="str">
        <x:v>10.1017/cbo9781139025751</x:v>
      </x:c>
      <x:c r="Q154" s="14" t="str"/>
      <x:c r="R154" s="17"/>
      <x:c r="S154" s="14" t="str"/>
      <x:c r="T154" s="14" t="str"/>
      <x:c r="U154" s="19" t="n">
        <x:v>46303</x:v>
      </x:c>
    </x:row>
    <x:row r="155" ht="68" customHeight="1">
      <x:c r="A155" s="14" t="str">
        <x:v>D-D57862E4</x:v>
      </x:c>
      <x:c r="B155" s="14" t="str">
        <x:v>需人工获取</x:v>
      </x:c>
      <x:c r="C155" s="14" t="str">
        <x:v>Regression-discontinuity analysis: An alternative to the ex post facto experiment</x:v>
      </x:c>
      <x:c r="D155" s="14" t="str">
        <x:v>英文</x:v>
      </x:c>
      <x:c r="E155" s="15" t="str">
        <x:v>未处理</x:v>
      </x:c>
      <x:c r="F155" s="15" t="str"/>
      <x:c r="G155" s="16" t="str">
        <x:v>https://doi.org/10.1037/h0044319</x:v>
      </x:c>
      <x:c r="H155" s="14" t="str">
        <x:v>G01；G06；G07</x:v>
      </x:c>
      <x:c r="I155" s="14" t="str">
        <x:v>Thistlethwaite, D. L., &amp; Campbell, D. T.</x:v>
      </x:c>
      <x:c r="J155" s="18" t="n">
        <x:v>1960</x:v>
      </x:c>
      <x:c r="K155" s="14" t="str">
        <x:v>研究文献</x:v>
      </x:c>
      <x:c r="L155" s="14" t="str">
        <x:v>优先</x:v>
      </x:c>
      <x:c r="M155" s="14" t="str">
        <x:v>未取得全文；页面响应不能证明全文权限。</x:v>
      </x:c>
      <x:c r="N155" s="14" t="str">
        <x:v>从 DOI 或出版社页查看全文；也可使用学校图书馆或作者公开版本。</x:v>
      </x:c>
      <x:c r="O155" s="14" t="str">
        <x:v>**RDD 的原始文献，出自心理学**。被埋没了三十多年才被经济学重新发现</x:v>
      </x:c>
      <x:c r="P155" s="14" t="str">
        <x:v>10.1037/h0044319</x:v>
      </x:c>
      <x:c r="Q155" s="14" t="str"/>
      <x:c r="R155" s="17"/>
      <x:c r="S155" s="14" t="str"/>
      <x:c r="T155" s="14" t="str"/>
      <x:c r="U155" s="19" t="n">
        <x:v>46303</x:v>
      </x:c>
    </x:row>
    <x:row r="156" ht="68" customHeight="1">
      <x:c r="A156" s="14" t="str">
        <x:v>D-DC9D0B03</x:v>
      </x:c>
      <x:c r="B156" s="14" t="str">
        <x:v>需人工获取</x:v>
      </x:c>
      <x:c r="C156" s="14" t="str">
        <x:v>Statistics and causal inference</x:v>
      </x:c>
      <x:c r="D156" s="14" t="str">
        <x:v>英文</x:v>
      </x:c>
      <x:c r="E156" s="15" t="str">
        <x:v>未处理</x:v>
      </x:c>
      <x:c r="F156" s="15" t="str"/>
      <x:c r="G156" s="16" t="str">
        <x:v>https://doi.org/10.1080/01621459.1986.10478354</x:v>
      </x:c>
      <x:c r="H156" s="14" t="str">
        <x:v>G01；G06；G07</x:v>
      </x:c>
      <x:c r="I156" s="14" t="str">
        <x:v>Holland, P. W.</x:v>
      </x:c>
      <x:c r="J156" s="18" t="n">
        <x:v>1986</x:v>
      </x:c>
      <x:c r="K156" s="14" t="str">
        <x:v>研究文献</x:v>
      </x:c>
      <x:c r="L156" s="14" t="str">
        <x:v>优先</x:v>
      </x:c>
      <x:c r="M156" s="14" t="str">
        <x:v>未取得全文；页面响应不能证明全文权限。</x:v>
      </x:c>
      <x:c r="N156" s="14" t="str">
        <x:v>从 DOI 或出版社页查看全文；也可使用学校图书馆或作者公开版本。</x:v>
      </x:c>
      <x:c r="O156" s="14" t="str">
        <x:v>**「因果推断的根本问题」与「没有操纵就没有因果」两句名言都出自这里**。必读，且可读性很高</x:v>
      </x:c>
      <x:c r="P156" s="14" t="str">
        <x:v>10.1080/01621459.1986.10478354</x:v>
      </x:c>
      <x:c r="Q156" s="14" t="str"/>
      <x:c r="R156" s="17"/>
      <x:c r="S156" s="14" t="str"/>
      <x:c r="T156" s="14" t="str"/>
      <x:c r="U156" s="19" t="n">
        <x:v>46303</x:v>
      </x:c>
    </x:row>
    <x:row r="157" ht="68" customHeight="1">
      <x:c r="A157" s="14" t="str">
        <x:v>D-837B7B28</x:v>
      </x:c>
      <x:c r="B157" s="14" t="str">
        <x:v>需人工获取</x:v>
      </x:c>
      <x:c r="C157" s="14" t="str">
        <x:v>Robust causal inference using directed acyclic graphs: The R package 'dagitty'</x:v>
      </x:c>
      <x:c r="D157" s="14" t="str">
        <x:v>英文</x:v>
      </x:c>
      <x:c r="E157" s="15" t="str">
        <x:v>未处理</x:v>
      </x:c>
      <x:c r="F157" s="15" t="str"/>
      <x:c r="G157" s="16" t="str">
        <x:v>https://doi.org/10.1093/ije/dyw341</x:v>
      </x:c>
      <x:c r="H157" s="14" t="str">
        <x:v>G02</x:v>
      </x:c>
      <x:c r="I157" s="14" t="str">
        <x:v>Textor, J., van der Zander, B., Gilthorpe, M. S., et al.</x:v>
      </x:c>
      <x:c r="J157" s="18" t="n">
        <x:v>2016</x:v>
      </x:c>
      <x:c r="K157" s="14" t="str">
        <x:v>研究文献</x:v>
      </x:c>
      <x:c r="L157" s="14" t="str">
        <x:v>优先</x:v>
      </x:c>
      <x:c r="M157" s="14" t="str">
        <x:v>未取得全文；页面响应不能证明全文权限。</x:v>
      </x:c>
      <x:c r="N157" s="14" t="str">
        <x:v>从 DOI 或出版社页查看全文；也可使用学校图书馆或作者公开版本。</x:v>
      </x:c>
      <x:c r="O157" s="14" t="str">
        <x:v>dagitty 的官方文档</x:v>
      </x:c>
      <x:c r="P157" s="14" t="str">
        <x:v>10.1093/ije/dyw341</x:v>
      </x:c>
      <x:c r="Q157" s="14" t="str"/>
      <x:c r="R157" s="17"/>
      <x:c r="S157" s="14" t="str"/>
      <x:c r="T157" s="14" t="str"/>
      <x:c r="U157" s="19" t="n">
        <x:v>46303</x:v>
      </x:c>
    </x:row>
    <x:row r="158" ht="68" customHeight="1">
      <x:c r="A158" s="14" t="str">
        <x:v>D-3EC8E77A</x:v>
      </x:c>
      <x:c r="B158" s="14" t="str">
        <x:v>需人工获取</x:v>
      </x:c>
      <x:c r="C158" s="14" t="str">
        <x:v>A new approach to causal inference in mortality studies with a sustained exposure period—application to control of the healthy worker survivor effect</x:v>
      </x:c>
      <x:c r="D158" s="14" t="str">
        <x:v>英文</x:v>
      </x:c>
      <x:c r="E158" s="15" t="str">
        <x:v>未处理</x:v>
      </x:c>
      <x:c r="F158" s="15" t="str"/>
      <x:c r="G158" s="16" t="str">
        <x:v>https://doi.org/10.1016/0270-0255(86)90088-6</x:v>
      </x:c>
      <x:c r="H158" s="14" t="str">
        <x:v>G02；G03；G05；G18</x:v>
      </x:c>
      <x:c r="I158" s="14" t="str">
        <x:v>James Robins</x:v>
      </x:c>
      <x:c r="J158" s="18" t="n">
        <x:v>1986</x:v>
      </x:c>
      <x:c r="K158" s="14" t="str">
        <x:v>研究文献</x:v>
      </x:c>
      <x:c r="L158" s="14" t="str">
        <x:v>优先</x:v>
      </x:c>
      <x:c r="M158" s="14" t="str">
        <x:v>未取得全文；页面响应不能证明全文权限。</x:v>
      </x:c>
      <x:c r="N158" s="14" t="str">
        <x:v>从 DOI 或出版社页查看全文；也可使用学校图书馆或作者公开版本。</x:v>
      </x:c>
      <x:c r="O158" s="14" t="str">
        <x:v>纵向因果 g 方法的重要起源文献。</x:v>
      </x:c>
      <x:c r="P158" s="14" t="str">
        <x:v>10.1016/0270-0255(86)90088-6</x:v>
      </x:c>
      <x:c r="Q158" s="14" t="str"/>
      <x:c r="R158" s="17"/>
      <x:c r="S158" s="14" t="str"/>
      <x:c r="T158" s="14" t="str"/>
      <x:c r="U158" s="19" t="n">
        <x:v>46303</x:v>
      </x:c>
    </x:row>
    <x:row r="159" ht="68" customHeight="1">
      <x:c r="A159" s="14" t="str">
        <x:v>D-A3DAA382</x:v>
      </x:c>
      <x:c r="B159" s="14" t="str">
        <x:v>需人工获取</x:v>
      </x:c>
      <x:c r="C159" s="14" t="str">
        <x:v>Identification and estimation of local average treatment effects</x:v>
      </x:c>
      <x:c r="D159" s="14" t="str">
        <x:v>英文</x:v>
      </x:c>
      <x:c r="E159" s="15" t="str">
        <x:v>未处理</x:v>
      </x:c>
      <x:c r="F159" s="15" t="str"/>
      <x:c r="G159" s="16" t="str">
        <x:v>https://doi.org/10.2307/2951620</x:v>
      </x:c>
      <x:c r="H159" s="14" t="str">
        <x:v>G02；G03；G05；G18</x:v>
      </x:c>
      <x:c r="I159" s="14" t="str">
        <x:v>Angrist, J. D., &amp; Imbens, G. W.</x:v>
      </x:c>
      <x:c r="J159" s="18" t="n">
        <x:v>1994</x:v>
      </x:c>
      <x:c r="K159" s="14" t="str">
        <x:v>研究文献</x:v>
      </x:c>
      <x:c r="L159" s="14" t="str">
        <x:v>优先</x:v>
      </x:c>
      <x:c r="M159" s="14" t="str">
        <x:v>未取得全文；页面响应不能证明全文权限。</x:v>
      </x:c>
      <x:c r="N159" s="14" t="str">
        <x:v>从 DOI 或出版社页查看全文；也可使用学校图书馆或作者公开版本。</x:v>
      </x:c>
      <x:c r="O159" s="14" t="str">
        <x:v>**LATE 框架**：IV 估计的只是依从者的效应，不是全体 ATE</x:v>
      </x:c>
      <x:c r="P159" s="14" t="str">
        <x:v>10.2307/2951620</x:v>
      </x:c>
      <x:c r="Q159" s="14" t="str"/>
      <x:c r="R159" s="17"/>
      <x:c r="S159" s="14" t="str"/>
      <x:c r="T159" s="14" t="str"/>
      <x:c r="U159" s="19" t="n">
        <x:v>46303</x:v>
      </x:c>
    </x:row>
    <x:row r="160" ht="68" customHeight="1">
      <x:c r="A160" s="14" t="str">
        <x:v>D-8B8056E2</x:v>
      </x:c>
      <x:c r="B160" s="14" t="str">
        <x:v>需人工获取</x:v>
      </x:c>
      <x:c r="C160" s="14" t="str">
        <x:v>The central role of the propensity score in observational studies for causal effects</x:v>
      </x:c>
      <x:c r="D160" s="14" t="str">
        <x:v>英文</x:v>
      </x:c>
      <x:c r="E160" s="15" t="str">
        <x:v>未处理</x:v>
      </x:c>
      <x:c r="F160" s="15" t="str"/>
      <x:c r="G160" s="16" t="str">
        <x:v>https://doi.org/10.1093/biomet/70.1.41</x:v>
      </x:c>
      <x:c r="H160" s="14" t="str">
        <x:v>G02；G03；G05；G18</x:v>
      </x:c>
      <x:c r="I160" s="14" t="str">
        <x:v>Rosenbaum, P. R., &amp; Rubin, D. B.</x:v>
      </x:c>
      <x:c r="J160" s="18" t="n">
        <x:v>1983</x:v>
      </x:c>
      <x:c r="K160" s="14" t="str">
        <x:v>研究文献</x:v>
      </x:c>
      <x:c r="L160" s="14" t="str">
        <x:v>优先</x:v>
      </x:c>
      <x:c r="M160" s="14" t="str">
        <x:v>未取得全文；页面响应不能证明全文权限。</x:v>
      </x:c>
      <x:c r="N160" s="14" t="str">
        <x:v>从 DOI 或出版社页查看全文；也可使用学校图书馆或作者公开版本。</x:v>
      </x:c>
      <x:c r="O160" s="14" t="str">
        <x:v>倾向得分的原始文献，证明了降维定理</x:v>
      </x:c>
      <x:c r="P160" s="14" t="str">
        <x:v>10.1093/biomet/70.1.41</x:v>
      </x:c>
      <x:c r="Q160" s="14" t="str"/>
      <x:c r="R160" s="17"/>
      <x:c r="S160" s="14" t="str"/>
      <x:c r="T160" s="14" t="str"/>
      <x:c r="U160" s="19" t="n">
        <x:v>46303</x:v>
      </x:c>
    </x:row>
    <x:row r="161" ht="68" customHeight="1">
      <x:c r="A161" s="14" t="str">
        <x:v>D-EF463BE2</x:v>
      </x:c>
      <x:c r="B161" s="14" t="str">
        <x:v>需人工获取</x:v>
      </x:c>
      <x:c r="C161" s="14" t="str">
        <x:v>Causal diagrams for empirical research</x:v>
      </x:c>
      <x:c r="D161" s="14" t="str">
        <x:v>英文</x:v>
      </x:c>
      <x:c r="E161" s="15" t="str">
        <x:v>未处理</x:v>
      </x:c>
      <x:c r="F161" s="15" t="str"/>
      <x:c r="G161" s="16" t="str">
        <x:v>https://doi.org/10.1093/biomet/82.4.702</x:v>
      </x:c>
      <x:c r="H161" s="14" t="str">
        <x:v>G02；G03；G05；G18；M16</x:v>
      </x:c>
      <x:c r="I161" s="14" t="str">
        <x:v>Pearl, J.</x:v>
      </x:c>
      <x:c r="J161" s="18" t="n">
        <x:v>1995</x:v>
      </x:c>
      <x:c r="K161" s="14" t="str">
        <x:v>研究文献</x:v>
      </x:c>
      <x:c r="L161" s="14" t="str">
        <x:v>优先</x:v>
      </x:c>
      <x:c r="M161" s="14" t="str">
        <x:v>未取得全文；页面响应不能证明全文权限。</x:v>
      </x:c>
      <x:c r="N161" s="14" t="str">
        <x:v>从 DOI 或出版社页查看全文；也可使用学校图书馆或作者公开版本。</x:v>
      </x:c>
      <x:c r="O161" s="14" t="str">
        <x:v>因果图的原始文献</x:v>
      </x:c>
      <x:c r="P161" s="14" t="str">
        <x:v>10.1093/biomet/82.4.702</x:v>
      </x:c>
      <x:c r="Q161" s="14" t="str"/>
      <x:c r="R161" s="17"/>
      <x:c r="S161" s="14" t="str"/>
      <x:c r="T161" s="14" t="str"/>
      <x:c r="U161" s="19" t="n">
        <x:v>46303</x:v>
      </x:c>
    </x:row>
    <x:row r="162" ht="68" customHeight="1">
      <x:c r="A162" s="14" t="str">
        <x:v>D-62346D80</x:v>
      </x:c>
      <x:c r="B162" s="14" t="str">
        <x:v>需人工获取</x:v>
      </x:c>
      <x:c r="C162" s="14" t="str">
        <x:v>Endogenous selection bias: The problem of conditioning on a collider variable</x:v>
      </x:c>
      <x:c r="D162" s="14" t="str">
        <x:v>英文</x:v>
      </x:c>
      <x:c r="E162" s="15" t="str">
        <x:v>未处理</x:v>
      </x:c>
      <x:c r="F162" s="15" t="str"/>
      <x:c r="G162" s="16" t="str">
        <x:v>https://doi.org/10.1146/annurev-soc-071913-043455</x:v>
      </x:c>
      <x:c r="H162" s="14" t="str">
        <x:v>G02；M16</x:v>
      </x:c>
      <x:c r="I162" s="14" t="str">
        <x:v>Elwert, F., &amp; Winship, C.</x:v>
      </x:c>
      <x:c r="J162" s="18" t="n">
        <x:v>2014</x:v>
      </x:c>
      <x:c r="K162" s="14" t="str">
        <x:v>研究文献</x:v>
      </x:c>
      <x:c r="L162" s="14" t="str">
        <x:v>优先</x:v>
      </x:c>
      <x:c r="M162" s="14" t="str">
        <x:v>未取得全文；页面响应不能证明全文权限。</x:v>
      </x:c>
      <x:c r="N162" s="14" t="str">
        <x:v>从 DOI 或出版社页查看全文；也可使用学校图书馆或作者公开版本。</x:v>
      </x:c>
      <x:c r="O162" s="14" t="str">
        <x:v>对撞偏差的权威综述，把幸存者偏差这类现象统一到一个框架</x:v>
      </x:c>
      <x:c r="P162" s="14" t="str">
        <x:v>10.1146/annurev-soc-071913-043455</x:v>
      </x:c>
      <x:c r="Q162" s="14" t="str"/>
      <x:c r="R162" s="17"/>
      <x:c r="S162" s="14" t="str"/>
      <x:c r="T162" s="14" t="str"/>
      <x:c r="U162" s="19" t="n">
        <x:v>46303</x:v>
      </x:c>
    </x:row>
    <x:row r="163" ht="68" customHeight="1">
      <x:c r="A163" s="14" t="str">
        <x:v>D-2E765CDD</x:v>
      </x:c>
      <x:c r="B163" s="14" t="str">
        <x:v>需人工获取</x:v>
      </x:c>
      <x:c r="C163" s="14" t="str">
        <x:v>An introduction to propensity score methods for reducing the effects of confounding in observational studies</x:v>
      </x:c>
      <x:c r="D163" s="14" t="str">
        <x:v>英文</x:v>
      </x:c>
      <x:c r="E163" s="15" t="str">
        <x:v>未处理</x:v>
      </x:c>
      <x:c r="F163" s="15" t="str"/>
      <x:c r="G163" s="16" t="str">
        <x:v>https://doi.org/10.1080/00273171.2011.568786</x:v>
      </x:c>
      <x:c r="H163" s="14" t="str">
        <x:v>G03</x:v>
      </x:c>
      <x:c r="I163" s="14" t="str">
        <x:v>Austin, P. C.</x:v>
      </x:c>
      <x:c r="J163" s="18" t="n">
        <x:v>2011</x:v>
      </x:c>
      <x:c r="K163" s="14" t="str">
        <x:v>研究文献</x:v>
      </x:c>
      <x:c r="L163" s="14" t="str">
        <x:v>优先</x:v>
      </x:c>
      <x:c r="M163" s="14" t="str">
        <x:v>未取得全文；页面响应不能证明全文权限。</x:v>
      </x:c>
      <x:c r="N163" s="14" t="str">
        <x:v>从 DOI 或出版社页查看全文；也可使用学校图书馆或作者公开版本。</x:v>
      </x:c>
      <x:c r="O163" s="14" t="str">
        <x:v>**最实用的入门**。四种用法的比较、平衡诊断的做法、报告规范，一篇讲完</x:v>
      </x:c>
      <x:c r="P163" s="14" t="str">
        <x:v>10.1080/00273171.2011.568786</x:v>
      </x:c>
      <x:c r="Q163" s="14" t="str"/>
      <x:c r="R163" s="17"/>
      <x:c r="S163" s="14" t="str"/>
      <x:c r="T163" s="14" t="str"/>
      <x:c r="U163" s="19" t="n">
        <x:v>46303</x:v>
      </x:c>
    </x:row>
    <x:row r="164" ht="68" customHeight="1">
      <x:c r="A164" s="14" t="str">
        <x:v>D-8E726487</x:v>
      </x:c>
      <x:c r="B164" s="14" t="str">
        <x:v>需人工获取</x:v>
      </x:c>
      <x:c r="C164" s="14" t="str">
        <x:v>Matching methods for causal inference: A review and a look forward</x:v>
      </x:c>
      <x:c r="D164" s="14" t="str">
        <x:v>英文</x:v>
      </x:c>
      <x:c r="E164" s="15" t="str">
        <x:v>未处理</x:v>
      </x:c>
      <x:c r="F164" s="15" t="str"/>
      <x:c r="G164" s="16" t="str">
        <x:v>https://doi.org/10.1214/09-sts313</x:v>
      </x:c>
      <x:c r="H164" s="14" t="str">
        <x:v>G03</x:v>
      </x:c>
      <x:c r="I164" s="14" t="str">
        <x:v>Stuart, E. A.</x:v>
      </x:c>
      <x:c r="J164" s="18" t="n">
        <x:v>2010</x:v>
      </x:c>
      <x:c r="K164" s="14" t="str">
        <x:v>研究文献</x:v>
      </x:c>
      <x:c r="L164" s="14" t="str">
        <x:v>优先</x:v>
      </x:c>
      <x:c r="M164" s="14" t="str">
        <x:v>未取得全文；页面响应不能证明全文权限。</x:v>
      </x:c>
      <x:c r="N164" s="14" t="str">
        <x:v>从 DOI 或出版社页查看全文；也可使用学校图书馆或作者公开版本。</x:v>
      </x:c>
      <x:c r="O164" s="14" t="str">
        <x:v>匹配方法的全景综述，MatchIt 作者写的</x:v>
      </x:c>
      <x:c r="P164" s="14" t="str">
        <x:v>10.1214/09-sts313</x:v>
      </x:c>
      <x:c r="Q164" s="14" t="str"/>
      <x:c r="R164" s="17"/>
      <x:c r="S164" s="14" t="str"/>
      <x:c r="T164" s="14" t="str"/>
      <x:c r="U164" s="19" t="n">
        <x:v>46303</x:v>
      </x:c>
    </x:row>
    <x:row r="165" ht="68" customHeight="1">
      <x:c r="A165" s="14" t="str">
        <x:v>D-725C6BAD</x:v>
      </x:c>
      <x:c r="B165" s="14" t="str">
        <x:v>需人工获取</x:v>
      </x:c>
      <x:c r="C165" s="14" t="str">
        <x:v>Causal inference without balance checking: Coarsened exact matching</x:v>
      </x:c>
      <x:c r="D165" s="14" t="str">
        <x:v>英文</x:v>
      </x:c>
      <x:c r="E165" s="15" t="str">
        <x:v>未处理</x:v>
      </x:c>
      <x:c r="F165" s="15" t="str"/>
      <x:c r="G165" s="16" t="str">
        <x:v>https://doi.org/10.1093/pan/mpr013</x:v>
      </x:c>
      <x:c r="H165" s="14" t="str">
        <x:v>G04</x:v>
      </x:c>
      <x:c r="I165" s="14" t="str">
        <x:v>Iacus, S. M., King, G., &amp; Porro, G.</x:v>
      </x:c>
      <x:c r="J165" s="18" t="n">
        <x:v>2012</x:v>
      </x:c>
      <x:c r="K165" s="14" t="str">
        <x:v>研究文献</x:v>
      </x:c>
      <x:c r="L165" s="14" t="str">
        <x:v>优先</x:v>
      </x:c>
      <x:c r="M165" s="14" t="str">
        <x:v>未取得全文；页面响应不能证明全文权限。</x:v>
      </x:c>
      <x:c r="N165" s="14" t="str">
        <x:v>从 DOI 或出版社页查看全文；也可使用学校图书馆或作者公开版本。</x:v>
      </x:c>
      <x:c r="O165" s="14" t="str">
        <x:v>CEM 的原始文献——平衡由设计保证，不靠事后检查</x:v>
      </x:c>
      <x:c r="P165" s="14" t="str">
        <x:v>10.1093/pan/mpr013</x:v>
      </x:c>
      <x:c r="Q165" s="14" t="str"/>
      <x:c r="R165" s="17"/>
      <x:c r="S165" s="14" t="str"/>
      <x:c r="T165" s="14" t="str"/>
      <x:c r="U165" s="19" t="n">
        <x:v>46303</x:v>
      </x:c>
    </x:row>
    <x:row r="166" ht="68" customHeight="1">
      <x:c r="A166" s="14" t="str">
        <x:v>D-E44049D8</x:v>
      </x:c>
      <x:c r="B166" s="14" t="str">
        <x:v>需人工获取</x:v>
      </x:c>
      <x:c r="C166" s="14" t="str">
        <x:v>Entropy balancing for causal effects: A multivariate reweighting method to produce balanced samples in observational studies</x:v>
      </x:c>
      <x:c r="D166" s="14" t="str">
        <x:v>英文</x:v>
      </x:c>
      <x:c r="E166" s="15" t="str">
        <x:v>未处理</x:v>
      </x:c>
      <x:c r="F166" s="15" t="str"/>
      <x:c r="G166" s="16" t="str">
        <x:v>https://doi.org/10.2139/ssrn.1904869</x:v>
      </x:c>
      <x:c r="H166" s="14" t="str">
        <x:v>G04</x:v>
      </x:c>
      <x:c r="I166" s="14" t="str">
        <x:v>Hainmueller, J.</x:v>
      </x:c>
      <x:c r="J166" s="18" t="n">
        <x:v>2012</x:v>
      </x:c>
      <x:c r="K166" s="14" t="str">
        <x:v>研究文献</x:v>
      </x:c>
      <x:c r="L166" s="14" t="str">
        <x:v>优先</x:v>
      </x:c>
      <x:c r="M166" s="14" t="str">
        <x:v>未取得全文；页面响应不能证明全文权限。</x:v>
      </x:c>
      <x:c r="N166" s="14" t="str">
        <x:v>从 DOI 或出版社页查看全文；也可使用学校图书馆或作者公开版本。</x:v>
      </x:c>
      <x:c r="O166" s="14" t="str">
        <x:v>熵平衡的原始文献 链接为作者公开稿或工作论文，可能与正式发表版在年份、题名或内容上不同；引用时请核对所用版本。</x:v>
      </x:c>
      <x:c r="P166" s="14" t="str">
        <x:v>10.2139/ssrn.1904869</x:v>
      </x:c>
      <x:c r="Q166" s="14" t="str"/>
      <x:c r="R166" s="17"/>
      <x:c r="S166" s="14" t="str"/>
      <x:c r="T166" s="14" t="str"/>
      <x:c r="U166" s="19" t="n">
        <x:v>46303</x:v>
      </x:c>
    </x:row>
    <x:row r="167" ht="68" customHeight="1">
      <x:c r="A167" s="14" t="str">
        <x:v>D-649CC37F</x:v>
      </x:c>
      <x:c r="B167" s="14" t="str">
        <x:v>需人工获取</x:v>
      </x:c>
      <x:c r="C167" s="14" t="str">
        <x:v>WeightIt: Weighting for Covariate Balance in Observational Studies</x:v>
      </x:c>
      <x:c r="D167" s="14" t="str">
        <x:v>英文</x:v>
      </x:c>
      <x:c r="E167" s="15" t="str">
        <x:v>未处理</x:v>
      </x:c>
      <x:c r="F167" s="15" t="str"/>
      <x:c r="G167" s="16" t="str">
        <x:v>https://doi.org/10.32614/cran.package.weightit</x:v>
      </x:c>
      <x:c r="H167" s="14" t="str">
        <x:v>G04</x:v>
      </x:c>
      <x:c r="I167" s="14" t="str">
        <x:v>Greifer, N.</x:v>
      </x:c>
      <x:c r="J167" s="18" t="n">
        <x:v>2023</x:v>
      </x:c>
      <x:c r="K167" s="14" t="str">
        <x:v>研究文献</x:v>
      </x:c>
      <x:c r="L167" s="14" t="str">
        <x:v>优先</x:v>
      </x:c>
      <x:c r="M167" s="14" t="str">
        <x:v>未取得全文；页面响应不能证明全文权限。</x:v>
      </x:c>
      <x:c r="N167" s="14" t="str">
        <x:v>从 DOI 或出版社页查看全文；也可使用学校图书馆或作者公开版本。</x:v>
      </x:c>
      <x:c r="O167" s="14" t="str">
        <x:v>各种加权方法的统一接口与对比</x:v>
      </x:c>
      <x:c r="P167" s="14" t="str">
        <x:v>10.32614/cran.package.weightit</x:v>
      </x:c>
      <x:c r="Q167" s="14" t="str"/>
      <x:c r="R167" s="17"/>
      <x:c r="S167" s="14" t="str"/>
      <x:c r="T167" s="14" t="str"/>
      <x:c r="U167" s="19" t="n">
        <x:v>46303</x:v>
      </x:c>
    </x:row>
    <x:row r="168" ht="68" customHeight="1">
      <x:c r="A168" s="14" t="str">
        <x:v>D-49678488</x:v>
      </x:c>
      <x:c r="B168" s="14" t="str">
        <x:v>需人工获取</x:v>
      </x:c>
      <x:c r="C168" s="14" t="str">
        <x:v>A Practical Introduction to Regression Discontinuity Designs: Foundations</x:v>
      </x:c>
      <x:c r="D168" s="14" t="str">
        <x:v>英文</x:v>
      </x:c>
      <x:c r="E168" s="15" t="str">
        <x:v>未处理</x:v>
      </x:c>
      <x:c r="F168" s="15" t="str"/>
      <x:c r="G168" s="16" t="str">
        <x:v>https://doi.org/10.1017/9781108684606</x:v>
      </x:c>
      <x:c r="H168" s="14" t="str">
        <x:v>G06</x:v>
      </x:c>
      <x:c r="I168" s="14" t="str">
        <x:v>Cattaneo, M. D., Idrobo, N., &amp; Titiunik, R.</x:v>
      </x:c>
      <x:c r="J168" s="18" t="n">
        <x:v>2020</x:v>
      </x:c>
      <x:c r="K168" s="14" t="str">
        <x:v>研究文献</x:v>
      </x:c>
      <x:c r="L168" s="14" t="str">
        <x:v>优先</x:v>
      </x:c>
      <x:c r="M168" s="14" t="str">
        <x:v>未取得全文；页面响应不能证明全文权限。</x:v>
      </x:c>
      <x:c r="N168" s="14" t="str">
        <x:v>从 DOI 或出版社页查看全文；也可使用学校图书馆或作者公开版本。</x:v>
      </x:c>
      <x:c r="O168" s="14" t="str">
        <x:v>**当前最好的实操手册**，配套代码与数据全部公开</x:v>
      </x:c>
      <x:c r="P168" s="14" t="str">
        <x:v>10.1017/9781108684606</x:v>
      </x:c>
      <x:c r="Q168" s="14" t="str"/>
      <x:c r="R168" s="17"/>
      <x:c r="S168" s="14" t="str"/>
      <x:c r="T168" s="14" t="str"/>
      <x:c r="U168" s="19" t="n">
        <x:v>46303</x:v>
      </x:c>
    </x:row>
    <x:row r="169" ht="68" customHeight="1">
      <x:c r="A169" s="14" t="str">
        <x:v>D-3DB0D6CA</x:v>
      </x:c>
      <x:c r="B169" s="14" t="str">
        <x:v>需人工获取</x:v>
      </x:c>
      <x:c r="C169" s="14" t="str">
        <x:v>Regression discontinuity designs: A guide to practice</x:v>
      </x:c>
      <x:c r="D169" s="14" t="str">
        <x:v>英文</x:v>
      </x:c>
      <x:c r="E169" s="15" t="str">
        <x:v>未处理</x:v>
      </x:c>
      <x:c r="F169" s="15" t="str"/>
      <x:c r="G169" s="16" t="str">
        <x:v>https://doi.org/10.1016/j.jeconom.2007.05.001</x:v>
      </x:c>
      <x:c r="H169" s="14" t="str">
        <x:v>G06</x:v>
      </x:c>
      <x:c r="I169" s="14" t="str">
        <x:v>Imbens, G. W., &amp; Lemieux, T.</x:v>
      </x:c>
      <x:c r="J169" s="18" t="n">
        <x:v>2008</x:v>
      </x:c>
      <x:c r="K169" s="14" t="str">
        <x:v>研究文献</x:v>
      </x:c>
      <x:c r="L169" s="14" t="str">
        <x:v>优先</x:v>
      </x:c>
      <x:c r="M169" s="14" t="str">
        <x:v>未取得全文；页面响应不能证明全文权限。</x:v>
      </x:c>
      <x:c r="N169" s="14" t="str">
        <x:v>从 DOI 或出版社页查看全文；也可使用学校图书馆或作者公开版本。</x:v>
      </x:c>
      <x:c r="O169" s="14" t="str">
        <x:v>把 RDD 现代化的那篇实践指南</x:v>
      </x:c>
      <x:c r="P169" s="14" t="str">
        <x:v>10.1016/j.jeconom.2007.05.001</x:v>
      </x:c>
      <x:c r="Q169" s="14" t="str"/>
      <x:c r="R169" s="17"/>
      <x:c r="S169" s="14" t="str"/>
      <x:c r="T169" s="14" t="str"/>
      <x:c r="U169" s="19" t="n">
        <x:v>46303</x:v>
      </x:c>
    </x:row>
    <x:row r="170" ht="68" customHeight="1">
      <x:c r="A170" s="14" t="str">
        <x:v>D-3EC54D64</x:v>
      </x:c>
      <x:c r="B170" s="14" t="str">
        <x:v>需人工获取</x:v>
      </x:c>
      <x:c r="C170" s="14" t="str">
        <x:v>Robust nonparametric confidence intervals for regression-discontinuity designs</x:v>
      </x:c>
      <x:c r="D170" s="14" t="str">
        <x:v>英文</x:v>
      </x:c>
      <x:c r="E170" s="15" t="str">
        <x:v>未处理</x:v>
      </x:c>
      <x:c r="F170" s="15" t="str"/>
      <x:c r="G170" s="16" t="str">
        <x:v>https://doi.org/10.3982/ecta11757</x:v>
      </x:c>
      <x:c r="H170" s="14" t="str">
        <x:v>G06</x:v>
      </x:c>
      <x:c r="I170" s="14" t="str">
        <x:v>Calonico, S., Cattaneo, M. D., &amp; Titiunik, R.</x:v>
      </x:c>
      <x:c r="J170" s="18" t="n">
        <x:v>2014</x:v>
      </x:c>
      <x:c r="K170" s="14" t="str">
        <x:v>研究文献</x:v>
      </x:c>
      <x:c r="L170" s="14" t="str">
        <x:v>优先</x:v>
      </x:c>
      <x:c r="M170" s="14" t="str">
        <x:v>未取得全文；页面响应不能证明全文权限。</x:v>
      </x:c>
      <x:c r="N170" s="14" t="str">
        <x:v>从 DOI 或出版社页查看全文；也可使用学校图书馆或作者公开版本。</x:v>
      </x:c>
      <x:c r="O170" s="14" t="str">
        <x:v>**稳健偏差校正置信区间的来源**，也是 rdrobust 的理论基础</x:v>
      </x:c>
      <x:c r="P170" s="14" t="str">
        <x:v>10.3982/ecta11757</x:v>
      </x:c>
      <x:c r="Q170" s="14" t="str"/>
      <x:c r="R170" s="17"/>
      <x:c r="S170" s="14" t="str"/>
      <x:c r="T170" s="14" t="str"/>
      <x:c r="U170" s="19" t="n">
        <x:v>46303</x:v>
      </x:c>
    </x:row>
    <x:row r="171" ht="68" customHeight="1">
      <x:c r="A171" s="14" t="str">
        <x:v>D-835B4CD2</x:v>
      </x:c>
      <x:c r="B171" s="14" t="str">
        <x:v>需人工获取</x:v>
      </x:c>
      <x:c r="C171" s="14" t="str">
        <x:v>Minimum wages and employment: A case study of the fast-food industry in New Jersey and Pennsylvania</x:v>
      </x:c>
      <x:c r="D171" s="14" t="str">
        <x:v>英文</x:v>
      </x:c>
      <x:c r="E171" s="15" t="str">
        <x:v>未处理</x:v>
      </x:c>
      <x:c r="F171" s="15" t="str"/>
      <x:c r="G171" s="16" t="str">
        <x:v>https://doi.org/10.3386/w4509</x:v>
      </x:c>
      <x:c r="H171" s="14" t="str">
        <x:v>G07</x:v>
      </x:c>
      <x:c r="I171" s="14" t="str">
        <x:v>Card, D., &amp; Krueger, A. B.</x:v>
      </x:c>
      <x:c r="J171" s="18" t="n">
        <x:v>1994</x:v>
      </x:c>
      <x:c r="K171" s="14" t="str">
        <x:v>研究文献</x:v>
      </x:c>
      <x:c r="L171" s="14" t="str">
        <x:v>优先</x:v>
      </x:c>
      <x:c r="M171" s="14" t="str">
        <x:v>未取得全文；页面响应不能证明全文权限。</x:v>
      </x:c>
      <x:c r="N171" s="14" t="str">
        <x:v>从 DOI 或出版社页查看全文；也可使用学校图书馆或作者公开版本。</x:v>
      </x:c>
      <x:c r="O171" s="14" t="str">
        <x:v>**最著名的 DiD 研究**。读它是为了看一个 DiD 设计该怎么讲故事</x:v>
      </x:c>
      <x:c r="P171" s="14" t="str">
        <x:v>10.3386/w4509</x:v>
      </x:c>
      <x:c r="Q171" s="14" t="str"/>
      <x:c r="R171" s="17"/>
      <x:c r="S171" s="14" t="str"/>
      <x:c r="T171" s="14" t="str"/>
      <x:c r="U171" s="19" t="n">
        <x:v>46303</x:v>
      </x:c>
    </x:row>
    <x:row r="172" ht="68" customHeight="1">
      <x:c r="A172" s="14" t="str">
        <x:v>D-BE41D24E</x:v>
      </x:c>
      <x:c r="B172" s="14" t="str">
        <x:v>需人工获取</x:v>
      </x:c>
      <x:c r="C172" s="14" t="str">
        <x:v>What's trending in difference-in-differences? A synthesis of the recent econometrics literature</x:v>
      </x:c>
      <x:c r="D172" s="14" t="str">
        <x:v>英文</x:v>
      </x:c>
      <x:c r="E172" s="15" t="str">
        <x:v>未处理</x:v>
      </x:c>
      <x:c r="F172" s="15" t="str"/>
      <x:c r="G172" s="16" t="str">
        <x:v>https://doi.org/10.1016/j.jeconom.2023.03.008</x:v>
      </x:c>
      <x:c r="H172" s="14" t="str">
        <x:v>G07；G08</x:v>
      </x:c>
      <x:c r="I172" s="14" t="str">
        <x:v>Roth, J., Sant'Anna, P. H. C., Bilinski, A., &amp; Poe, J.</x:v>
      </x:c>
      <x:c r="J172" s="18" t="n">
        <x:v>2023</x:v>
      </x:c>
      <x:c r="K172" s="14" t="str">
        <x:v>研究文献</x:v>
      </x:c>
      <x:c r="L172" s="14" t="str">
        <x:v>优先</x:v>
      </x:c>
      <x:c r="M172" s="14" t="str">
        <x:v>未取得全文；页面响应不能证明全文权限。</x:v>
      </x:c>
      <x:c r="N172" s="14" t="str">
        <x:v>从 DOI 或出版社页查看全文；也可使用学校图书馆或作者公开版本。</x:v>
      </x:c>
      <x:c r="O172" s="14" t="str">
        <x:v>**当前最好的综述**。把近五年的所有新发展整理成一篇，含实践建议</x:v>
      </x:c>
      <x:c r="P172" s="14" t="str">
        <x:v>10.1016/j.jeconom.2023.03.008</x:v>
      </x:c>
      <x:c r="Q172" s="14" t="str"/>
      <x:c r="R172" s="17"/>
      <x:c r="S172" s="14" t="str"/>
      <x:c r="T172" s="14" t="str"/>
      <x:c r="U172" s="19" t="n">
        <x:v>46303</x:v>
      </x:c>
    </x:row>
    <x:row r="173" ht="68" customHeight="1">
      <x:c r="A173" s="14" t="str">
        <x:v>D-76127DA8</x:v>
      </x:c>
      <x:c r="B173" s="14" t="str">
        <x:v>需人工获取</x:v>
      </x:c>
      <x:c r="C173" s="14" t="str">
        <x:v>Difference-in-differences with variation in treatment timing</x:v>
      </x:c>
      <x:c r="D173" s="14" t="str">
        <x:v>英文</x:v>
      </x:c>
      <x:c r="E173" s="15" t="str">
        <x:v>未处理</x:v>
      </x:c>
      <x:c r="F173" s="15" t="str"/>
      <x:c r="G173" s="16" t="str">
        <x:v>https://doi.org/10.1016/j.jeconom.2021.03.014</x:v>
      </x:c>
      <x:c r="H173" s="14" t="str">
        <x:v>G08</x:v>
      </x:c>
      <x:c r="I173" s="14" t="str">
        <x:v>Goodman-Bacon, A.</x:v>
      </x:c>
      <x:c r="J173" s="18" t="n">
        <x:v>2021</x:v>
      </x:c>
      <x:c r="K173" s="14" t="str">
        <x:v>研究文献</x:v>
      </x:c>
      <x:c r="L173" s="14" t="str">
        <x:v>优先</x:v>
      </x:c>
      <x:c r="M173" s="14" t="str">
        <x:v>未取得全文；页面响应不能证明全文权限。</x:v>
      </x:c>
      <x:c r="N173" s="14" t="str">
        <x:v>从 DOI 或出版社页查看全文；也可使用学校图书馆或作者公开版本。</x:v>
      </x:c>
      <x:c r="O173" s="14" t="str">
        <x:v>**诊断问题的那一篇**。Bacon 分解让你看到 TWFE 的偏误来自哪些比较</x:v>
      </x:c>
      <x:c r="P173" s="14" t="str">
        <x:v>10.1016/j.jeconom.2021.03.014</x:v>
      </x:c>
      <x:c r="Q173" s="14" t="str"/>
      <x:c r="R173" s="17"/>
      <x:c r="S173" s="14" t="str"/>
      <x:c r="T173" s="14" t="str"/>
      <x:c r="U173" s="19" t="n">
        <x:v>46303</x:v>
      </x:c>
    </x:row>
    <x:row r="174" ht="68" customHeight="1">
      <x:c r="A174" s="14" t="str">
        <x:v>D-C90CF15B</x:v>
      </x:c>
      <x:c r="B174" s="14" t="str">
        <x:v>需人工获取</x:v>
      </x:c>
      <x:c r="C174" s="14" t="str">
        <x:v>Estimating dynamic treatment effects in event studies with heterogeneous treatment effects</x:v>
      </x:c>
      <x:c r="D174" s="14" t="str">
        <x:v>英文</x:v>
      </x:c>
      <x:c r="E174" s="15" t="str">
        <x:v>未处理</x:v>
      </x:c>
      <x:c r="F174" s="15" t="str"/>
      <x:c r="G174" s="16" t="str">
        <x:v>https://doi.org/10.1016/j.jeconom.2020.09.006</x:v>
      </x:c>
      <x:c r="H174" s="14" t="str">
        <x:v>G08</x:v>
      </x:c>
      <x:c r="I174" s="14" t="str">
        <x:v>Sun, L., &amp; Abraham, S.</x:v>
      </x:c>
      <x:c r="J174" s="18" t="n">
        <x:v>2021</x:v>
      </x:c>
      <x:c r="K174" s="14" t="str">
        <x:v>研究文献</x:v>
      </x:c>
      <x:c r="L174" s="14" t="str">
        <x:v>优先</x:v>
      </x:c>
      <x:c r="M174" s="14" t="str">
        <x:v>未取得全文；页面响应不能证明全文权限。</x:v>
      </x:c>
      <x:c r="N174" s="14" t="str">
        <x:v>从 DOI 或出版社页查看全文；也可使用学校图书馆或作者公开版本。</x:v>
      </x:c>
      <x:c r="O174" s="14" t="str">
        <x:v>事件研究回归的修正，fixest 的 sunab() 即此法</x:v>
      </x:c>
      <x:c r="P174" s="14" t="str">
        <x:v>10.1016/j.jeconom.2020.09.006</x:v>
      </x:c>
      <x:c r="Q174" s="14" t="str"/>
      <x:c r="R174" s="17"/>
      <x:c r="S174" s="14" t="str"/>
      <x:c r="T174" s="14" t="str"/>
      <x:c r="U174" s="19" t="n">
        <x:v>46303</x:v>
      </x:c>
    </x:row>
    <x:row r="175" ht="68" customHeight="1">
      <x:c r="A175" s="14" t="str">
        <x:v>D-8530DCFC</x:v>
      </x:c>
      <x:c r="B175" s="14" t="str">
        <x:v>需人工获取</x:v>
      </x:c>
      <x:c r="C175" s="14" t="str">
        <x:v>Revisiting event study designs: Robust and efficient estimation</x:v>
      </x:c>
      <x:c r="D175" s="14" t="str">
        <x:v>英文</x:v>
      </x:c>
      <x:c r="E175" s="15" t="str">
        <x:v>未处理</x:v>
      </x:c>
      <x:c r="F175" s="15" t="str"/>
      <x:c r="G175" s="16" t="str">
        <x:v>https://doi.org/10.1093/restud/rdae007</x:v>
      </x:c>
      <x:c r="H175" s="14" t="str">
        <x:v>G08</x:v>
      </x:c>
      <x:c r="I175" s="14" t="str">
        <x:v>Borusyak, K., Jaravel, X., &amp; Spiess, J.</x:v>
      </x:c>
      <x:c r="J175" s="18" t="n">
        <x:v>2024</x:v>
      </x:c>
      <x:c r="K175" s="14" t="str">
        <x:v>研究文献</x:v>
      </x:c>
      <x:c r="L175" s="14" t="str">
        <x:v>优先</x:v>
      </x:c>
      <x:c r="M175" s="14" t="str">
        <x:v>未取得全文；页面响应不能证明全文权限。</x:v>
      </x:c>
      <x:c r="N175" s="14" t="str">
        <x:v>从 DOI 或出版社页查看全文；也可使用学校图书馆或作者公开版本。</x:v>
      </x:c>
      <x:c r="O175" s="14" t="str">
        <x:v>插补法，效率最高的一种</x:v>
      </x:c>
      <x:c r="P175" s="14" t="str">
        <x:v>10.1093/restud/rdae007</x:v>
      </x:c>
      <x:c r="Q175" s="14" t="str"/>
      <x:c r="R175" s="17"/>
      <x:c r="S175" s="14" t="str"/>
      <x:c r="T175" s="14" t="str"/>
      <x:c r="U175" s="19" t="n">
        <x:v>46303</x:v>
      </x:c>
    </x:row>
    <x:row r="176" ht="68" customHeight="1">
      <x:c r="A176" s="14" t="str">
        <x:v>D-BC92E292</x:v>
      </x:c>
      <x:c r="B176" s="14" t="str">
        <x:v>需人工获取</x:v>
      </x:c>
      <x:c r="C176" s="14" t="str">
        <x:v>Two-way fixed effects estimators with heterogeneous treatment effects</x:v>
      </x:c>
      <x:c r="D176" s="14" t="str">
        <x:v>英文</x:v>
      </x:c>
      <x:c r="E176" s="15" t="str">
        <x:v>未处理</x:v>
      </x:c>
      <x:c r="F176" s="15" t="str"/>
      <x:c r="G176" s="16" t="str">
        <x:v>https://doi.org/10.1257/aer.20181169</x:v>
      </x:c>
      <x:c r="H176" s="14" t="str">
        <x:v>G08</x:v>
      </x:c>
      <x:c r="I176" s="14" t="str">
        <x:v>de Chaisemartin, C., &amp; D'Haultfœuille, X.</x:v>
      </x:c>
      <x:c r="J176" s="18" t="n">
        <x:v>2020</x:v>
      </x:c>
      <x:c r="K176" s="14" t="str">
        <x:v>研究文献</x:v>
      </x:c>
      <x:c r="L176" s="14" t="str">
        <x:v>优先</x:v>
      </x:c>
      <x:c r="M176" s="14" t="str">
        <x:v>未取得全文；页面响应不能证明全文权限。</x:v>
      </x:c>
      <x:c r="N176" s="14" t="str">
        <x:v>从 DOI 或出版社页查看全文；也可使用学校图书馆或作者公开版本。</x:v>
      </x:c>
      <x:c r="O176" s="14" t="str">
        <x:v>给出 TWFE 权重可能为负的一般性结果</x:v>
      </x:c>
      <x:c r="P176" s="14" t="str">
        <x:v>10.1257/aer.20181169</x:v>
      </x:c>
      <x:c r="Q176" s="14" t="str"/>
      <x:c r="R176" s="17"/>
      <x:c r="S176" s="14" t="str"/>
      <x:c r="T176" s="14" t="str"/>
      <x:c r="U176" s="19" t="n">
        <x:v>46303</x:v>
      </x:c>
    </x:row>
    <x:row r="177" ht="68" customHeight="1">
      <x:c r="A177" s="14" t="str">
        <x:v>D-5CD6284C</x:v>
      </x:c>
      <x:c r="B177" s="14" t="str">
        <x:v>需人工获取</x:v>
      </x:c>
      <x:c r="C177" s="14" t="str">
        <x:v>Causal Inference for Latent Markov Models Using the Parametric G-Formula</x:v>
      </x:c>
      <x:c r="D177" s="14" t="str">
        <x:v>英文</x:v>
      </x:c>
      <x:c r="E177" s="15" t="str">
        <x:v>未处理</x:v>
      </x:c>
      <x:c r="F177" s="15" t="str"/>
      <x:c r="G177" s="16" t="str">
        <x:v>https://doi.org/10.1177/00491241251377068</x:v>
      </x:c>
      <x:c r="H177" s="14" t="str">
        <x:v>G08；G16；G18；G19；H12</x:v>
      </x:c>
      <x:c r="I177" s="14" t="str">
        <x:v>Felix J. Clouth; Maarten J. Bijlsma; Steffen Pauws; Jeroen K. Vermunt</x:v>
      </x:c>
      <x:c r="J177" s="18" t="n">
        <x:v>2026</x:v>
      </x:c>
      <x:c r="K177" s="14" t="str">
        <x:v>研究文献</x:v>
      </x:c>
      <x:c r="L177" s="14" t="str">
        <x:v>优先</x:v>
      </x:c>
      <x:c r="M177" s="14" t="str">
        <x:v>未取得全文；页面响应不能证明全文权限。</x:v>
      </x:c>
      <x:c r="N177" s="14" t="str">
        <x:v>从 DOI 或出版社页查看全文；也可使用学校图书馆或作者公开版本。</x:v>
      </x:c>
      <x:c r="O177" s="14" t="str">
        <x:v>把潜在马尔可夫模型与参数 g 公式结合，处理分类误差与纵向混淆。</x:v>
      </x:c>
      <x:c r="P177" s="14" t="str">
        <x:v>10.1177/00491241251377068</x:v>
      </x:c>
      <x:c r="Q177" s="14" t="str"/>
      <x:c r="R177" s="17"/>
      <x:c r="S177" s="14" t="str"/>
      <x:c r="T177" s="14" t="str"/>
      <x:c r="U177" s="19" t="n">
        <x:v>46303</x:v>
      </x:c>
    </x:row>
    <x:row r="178" ht="68" customHeight="1">
      <x:c r="A178" s="14" t="str">
        <x:v>D-0C16B578</x:v>
      </x:c>
      <x:c r="B178" s="14" t="str">
        <x:v>需人工获取</x:v>
      </x:c>
      <x:c r="C178" s="14" t="str">
        <x:v>Causal Inference with a Continuous Treatment: Addressing Positivity Constraints, Nonlinearity, and Effect Heterogeneity</x:v>
      </x:c>
      <x:c r="D178" s="14" t="str">
        <x:v>英文</x:v>
      </x:c>
      <x:c r="E178" s="15" t="str">
        <x:v>未处理</x:v>
      </x:c>
      <x:c r="F178" s="15" t="str"/>
      <x:c r="G178" s="16" t="str">
        <x:v>https://doi.org/10.1177/00811750261459364</x:v>
      </x:c>
      <x:c r="H178" s="14" t="str">
        <x:v>G08；G16；G18；G19；H12</x:v>
      </x:c>
      <x:c r="I178" s="14" t="str">
        <x:v>Ian Lundberg; Jennie E. Brand</x:v>
      </x:c>
      <x:c r="J178" s="18" t="n">
        <x:v>2026</x:v>
      </x:c>
      <x:c r="K178" s="14" t="str">
        <x:v>研究文献</x:v>
      </x:c>
      <x:c r="L178" s="14" t="str">
        <x:v>优先</x:v>
      </x:c>
      <x:c r="M178" s="14" t="str">
        <x:v>未取得全文；页面响应不能证明全文权限。</x:v>
      </x:c>
      <x:c r="N178" s="14" t="str">
        <x:v>从 DOI 或出版社页查看全文；也可使用学校图书馆或作者公开版本。</x:v>
      </x:c>
      <x:c r="O178" s="14" t="str">
        <x:v>以连续处理的小幅平移界定因果问题，讨论支持域、非线性与异质性。</x:v>
      </x:c>
      <x:c r="P178" s="14" t="str">
        <x:v>10.1177/00811750261459364</x:v>
      </x:c>
      <x:c r="Q178" s="14" t="str"/>
      <x:c r="R178" s="17"/>
      <x:c r="S178" s="14" t="str"/>
      <x:c r="T178" s="14" t="str"/>
      <x:c r="U178" s="19" t="n">
        <x:v>46303</x:v>
      </x:c>
    </x:row>
    <x:row r="179" ht="68" customHeight="1">
      <x:c r="A179" s="14" t="str">
        <x:v>D-E25AD26C</x:v>
      </x:c>
      <x:c r="B179" s="14" t="str">
        <x:v>需人工获取</x:v>
      </x:c>
      <x:c r="C179" s="14" t="str">
        <x:v>Generalizing Causal Effects to a Target Population Without Individual-Level Data from the Target Population</x:v>
      </x:c>
      <x:c r="D179" s="14" t="str">
        <x:v>英文</x:v>
      </x:c>
      <x:c r="E179" s="15" t="str">
        <x:v>未处理</x:v>
      </x:c>
      <x:c r="F179" s="15" t="str"/>
      <x:c r="G179" s="16" t="str">
        <x:v>https://doi.org/10.1080/00273171.2026.2683348</x:v>
      </x:c>
      <x:c r="H179" s="14" t="str">
        <x:v>G08；G16；G18；G19；H12</x:v>
      </x:c>
      <x:c r="I179" s="14" t="str">
        <x:v>Wen Wei Loh; Dongning Ren</x:v>
      </x:c>
      <x:c r="J179" s="18" t="n">
        <x:v>2026</x:v>
      </x:c>
      <x:c r="K179" s="14" t="str">
        <x:v>研究文献</x:v>
      </x:c>
      <x:c r="L179" s="14" t="str">
        <x:v>优先</x:v>
      </x:c>
      <x:c r="M179" s="14" t="str">
        <x:v>未取得全文；页面响应不能证明全文权限。</x:v>
      </x:c>
      <x:c r="N179" s="14" t="str">
        <x:v>从 DOI 或出版社页查看全文；也可使用学校图书馆或作者公开版本。</x:v>
      </x:c>
      <x:c r="O179" s="14" t="str">
        <x:v>仅有目标总体协变量汇总信息时推广实验因果效应。</x:v>
      </x:c>
      <x:c r="P179" s="14" t="str">
        <x:v>10.1080/00273171.2026.2683348</x:v>
      </x:c>
      <x:c r="Q179" s="14" t="str"/>
      <x:c r="R179" s="17"/>
      <x:c r="S179" s="14" t="str"/>
      <x:c r="T179" s="14" t="str"/>
      <x:c r="U179" s="19" t="n">
        <x:v>46303</x:v>
      </x:c>
    </x:row>
    <x:row r="180" ht="68" customHeight="1">
      <x:c r="A180" s="14" t="str">
        <x:v>D-A37EFE98</x:v>
      </x:c>
      <x:c r="B180" s="14" t="str">
        <x:v>需人工获取</x:v>
      </x:c>
      <x:c r="C180" s="14" t="str">
        <x:v>Leveraging lavaan for iterated conditional expectations: A streamlined parametric g-formula.</x:v>
      </x:c>
      <x:c r="D180" s="14" t="str">
        <x:v>英文</x:v>
      </x:c>
      <x:c r="E180" s="15" t="str">
        <x:v>未处理</x:v>
      </x:c>
      <x:c r="F180" s="15" t="str"/>
      <x:c r="G180" s="16" t="str">
        <x:v>https://doi.org/10.1037/met0000844</x:v>
      </x:c>
      <x:c r="H180" s="14" t="str">
        <x:v>G08；G16；G18；G19；H12</x:v>
      </x:c>
      <x:c r="I180" s="14" t="str">
        <x:v>Wen Wei Loh</x:v>
      </x:c>
      <x:c r="J180" s="18" t="n">
        <x:v>2026</x:v>
      </x:c>
      <x:c r="K180" s="14" t="str">
        <x:v>研究文献</x:v>
      </x:c>
      <x:c r="L180" s="14" t="str">
        <x:v>优先</x:v>
      </x:c>
      <x:c r="M180" s="14" t="str">
        <x:v>未取得全文；页面响应不能证明全文权限。</x:v>
      </x:c>
      <x:c r="N180" s="14" t="str">
        <x:v>从 DOI 或出版社页查看全文；也可使用学校图书馆或作者公开版本。</x:v>
      </x:c>
      <x:c r="O180" s="14" t="str">
        <x:v>用 lavaan 组织迭代条件期望的参数 g 公式；纵向因果方法的实现与教学扩展。</x:v>
      </x:c>
      <x:c r="P180" s="14" t="str">
        <x:v>10.1037/met0000844</x:v>
      </x:c>
      <x:c r="Q180" s="14" t="str"/>
      <x:c r="R180" s="17"/>
      <x:c r="S180" s="14" t="str"/>
      <x:c r="T180" s="14" t="str"/>
      <x:c r="U180" s="19" t="n">
        <x:v>46303</x:v>
      </x:c>
    </x:row>
    <x:row r="181" ht="68" customHeight="1">
      <x:c r="A181" s="14" t="str">
        <x:v>D-AA22D8AC</x:v>
      </x:c>
      <x:c r="B181" s="14" t="str">
        <x:v>需人工获取</x:v>
      </x:c>
      <x:c r="C181" s="14" t="str">
        <x:v>Synthetic difference-in-differences</x:v>
      </x:c>
      <x:c r="D181" s="14" t="str">
        <x:v>英文</x:v>
      </x:c>
      <x:c r="E181" s="15" t="str">
        <x:v>未处理</x:v>
      </x:c>
      <x:c r="F181" s="15" t="str"/>
      <x:c r="G181" s="16" t="str">
        <x:v>https://doi.org/10.1257/aer.20190159</x:v>
      </x:c>
      <x:c r="H181" s="14" t="str">
        <x:v>G09</x:v>
      </x:c>
      <x:c r="I181" s="14" t="str">
        <x:v>Arkhangelsky, D., Athey, S., Hirshberg, D. A., Imbens, G. W., &amp; Wager, S.</x:v>
      </x:c>
      <x:c r="J181" s="18" t="n">
        <x:v>2021</x:v>
      </x:c>
      <x:c r="K181" s="14" t="str">
        <x:v>研究文献</x:v>
      </x:c>
      <x:c r="L181" s="14" t="str">
        <x:v>优先</x:v>
      </x:c>
      <x:c r="M181" s="14" t="str">
        <x:v>未取得全文；页面响应不能证明全文权限。</x:v>
      </x:c>
      <x:c r="N181" s="14" t="str">
        <x:v>从 DOI 或出版社页查看全文；也可使用学校图书馆或作者公开版本。</x:v>
      </x:c>
      <x:c r="O181" s="14" t="str">
        <x:v>合成 DiD：同时对单位与时期加权</x:v>
      </x:c>
      <x:c r="P181" s="14" t="str">
        <x:v>10.1257/aer.20190159</x:v>
      </x:c>
      <x:c r="Q181" s="14" t="str"/>
      <x:c r="R181" s="17"/>
      <x:c r="S181" s="14" t="str"/>
      <x:c r="T181" s="14" t="str"/>
      <x:c r="U181" s="19" t="n">
        <x:v>46303</x:v>
      </x:c>
    </x:row>
    <x:row r="182" ht="68" customHeight="1">
      <x:c r="A182" s="14" t="str">
        <x:v>D-C702958C</x:v>
      </x:c>
      <x:c r="B182" s="14" t="str">
        <x:v>需人工获取</x:v>
      </x:c>
      <x:c r="C182" s="14" t="str">
        <x:v>Using synthetic controls: Feasibility, data requirements, and methodological aspects</x:v>
      </x:c>
      <x:c r="D182" s="14" t="str">
        <x:v>英文</x:v>
      </x:c>
      <x:c r="E182" s="15" t="str">
        <x:v>未处理</x:v>
      </x:c>
      <x:c r="F182" s="15" t="str"/>
      <x:c r="G182" s="16" t="str">
        <x:v>https://doi.org/10.1257/jel.20191450</x:v>
      </x:c>
      <x:c r="H182" s="14" t="str">
        <x:v>G09</x:v>
      </x:c>
      <x:c r="I182" s="14" t="str">
        <x:v>Abadie, A.</x:v>
      </x:c>
      <x:c r="J182" s="18" t="n">
        <x:v>2021</x:v>
      </x:c>
      <x:c r="K182" s="14" t="str">
        <x:v>研究文献</x:v>
      </x:c>
      <x:c r="L182" s="14" t="str">
        <x:v>优先</x:v>
      </x:c>
      <x:c r="M182" s="14" t="str">
        <x:v>未取得全文；页面响应不能证明全文权限。</x:v>
      </x:c>
      <x:c r="N182" s="14" t="str">
        <x:v>从 DOI 或出版社页查看全文；也可使用学校图书馆或作者公开版本。</x:v>
      </x:c>
      <x:c r="O182" s="14" t="str">
        <x:v>**作者本人写的实践指南**：什么时候能用、需要什么数据、常见误用</x:v>
      </x:c>
      <x:c r="P182" s="14" t="str">
        <x:v>10.1257/jel.20191450</x:v>
      </x:c>
      <x:c r="Q182" s="14" t="str"/>
      <x:c r="R182" s="17"/>
      <x:c r="S182" s="14" t="str"/>
      <x:c r="T182" s="14" t="str"/>
      <x:c r="U182" s="19" t="n">
        <x:v>46303</x:v>
      </x:c>
    </x:row>
    <x:row r="183" ht="68" customHeight="1">
      <x:c r="A183" s="14" t="str">
        <x:v>D-41199D04</x:v>
      </x:c>
      <x:c r="B183" s="14" t="str">
        <x:v>需人工获取</x:v>
      </x:c>
      <x:c r="C183" s="14" t="str">
        <x:v>Design approaches to experimental mediation</x:v>
      </x:c>
      <x:c r="D183" s="14" t="str">
        <x:v>英文</x:v>
      </x:c>
      <x:c r="E183" s="15" t="str">
        <x:v>未处理</x:v>
      </x:c>
      <x:c r="F183" s="15" t="str"/>
      <x:c r="G183" s="16" t="str">
        <x:v>https://doi.org/10.1016/j.jesp.2015.09.012</x:v>
      </x:c>
      <x:c r="H183" s="14" t="str">
        <x:v>G10</x:v>
      </x:c>
      <x:c r="I183" s="14" t="str">
        <x:v>Pirlott, A. G., &amp; MacKinnon, D. P.</x:v>
      </x:c>
      <x:c r="J183" s="18" t="n">
        <x:v>2016</x:v>
      </x:c>
      <x:c r="K183" s="14" t="str">
        <x:v>研究文献</x:v>
      </x:c>
      <x:c r="L183" s="14" t="str">
        <x:v>优先</x:v>
      </x:c>
      <x:c r="M183" s="14" t="str">
        <x:v>未取得全文；页面响应不能证明全文权限。</x:v>
      </x:c>
      <x:c r="N183" s="14" t="str">
        <x:v>从 DOI 或出版社页查看全文；也可使用学校图书馆或作者公开版本。</x:v>
      </x:c>
      <x:c r="O183" s="14" t="str">
        <x:v>**实验操纵中介的设计方案**：想要因果机制证据，靠设计而不是靠统计</x:v>
      </x:c>
      <x:c r="P183" s="14" t="str">
        <x:v>10.1016/j.jesp.2015.09.012</x:v>
      </x:c>
      <x:c r="Q183" s="14" t="str"/>
      <x:c r="R183" s="17"/>
      <x:c r="S183" s="14" t="str"/>
      <x:c r="T183" s="14" t="str"/>
      <x:c r="U183" s="19" t="n">
        <x:v>46303</x:v>
      </x:c>
    </x:row>
    <x:row r="184" ht="68" customHeight="1">
      <x:c r="A184" s="14" t="str">
        <x:v>D-2B8568CF</x:v>
      </x:c>
      <x:c r="B184" s="14" t="str">
        <x:v>需人工获取</x:v>
      </x:c>
      <x:c r="C184" s="14" t="str">
        <x:v>Generalized random forests</x:v>
      </x:c>
      <x:c r="D184" s="14" t="str">
        <x:v>英文</x:v>
      </x:c>
      <x:c r="E184" s="15" t="str">
        <x:v>未处理</x:v>
      </x:c>
      <x:c r="F184" s="15" t="str"/>
      <x:c r="G184" s="16" t="str">
        <x:v>https://doi.org/10.1214/18-aos1709</x:v>
      </x:c>
      <x:c r="H184" s="14" t="str">
        <x:v>G11</x:v>
      </x:c>
      <x:c r="I184" s="14" t="str">
        <x:v>Athey, S., Tibshirani, J., &amp; Wager, S.</x:v>
      </x:c>
      <x:c r="J184" s="18" t="n">
        <x:v>2019</x:v>
      </x:c>
      <x:c r="K184" s="14" t="str">
        <x:v>研究文献</x:v>
      </x:c>
      <x:c r="L184" s="14" t="str">
        <x:v>优先</x:v>
      </x:c>
      <x:c r="M184" s="14" t="str">
        <x:v>未取得全文；页面响应不能证明全文权限。</x:v>
      </x:c>
      <x:c r="N184" s="14" t="str">
        <x:v>从 DOI 或出版社页查看全文；也可使用学校图书馆或作者公开版本。</x:v>
      </x:c>
      <x:c r="O184" s="14" t="str">
        <x:v>grf 包的理论基础，把因果森林纳入更一般的框架</x:v>
      </x:c>
      <x:c r="P184" s="14" t="str">
        <x:v>10.1214/18-aos1709</x:v>
      </x:c>
      <x:c r="Q184" s="14" t="str"/>
      <x:c r="R184" s="17"/>
      <x:c r="S184" s="14" t="str"/>
      <x:c r="T184" s="14" t="str"/>
      <x:c r="U184" s="19" t="n">
        <x:v>46303</x:v>
      </x:c>
    </x:row>
    <x:row r="185" ht="68" customHeight="1">
      <x:c r="A185" s="14" t="str">
        <x:v>D-391CCAE4</x:v>
      </x:c>
      <x:c r="B185" s="14" t="str">
        <x:v>需人工获取</x:v>
      </x:c>
      <x:c r="C185" s="14" t="str">
        <x:v>Machine learning methods that economists should know about</x:v>
      </x:c>
      <x:c r="D185" s="14" t="str">
        <x:v>英文</x:v>
      </x:c>
      <x:c r="E185" s="15" t="str">
        <x:v>未处理</x:v>
      </x:c>
      <x:c r="F185" s="15" t="str"/>
      <x:c r="G185" s="16" t="str">
        <x:v>https://doi.org/10.1146/annurev-economics-080217-053433</x:v>
      </x:c>
      <x:c r="H185" s="14" t="str">
        <x:v>G11</x:v>
      </x:c>
      <x:c r="I185" s="14" t="str">
        <x:v>Athey, S., &amp; Imbens, G. W.</x:v>
      </x:c>
      <x:c r="J185" s="18" t="n">
        <x:v>2019</x:v>
      </x:c>
      <x:c r="K185" s="14" t="str">
        <x:v>研究文献</x:v>
      </x:c>
      <x:c r="L185" s="14" t="str">
        <x:v>优先</x:v>
      </x:c>
      <x:c r="M185" s="14" t="str">
        <x:v>未取得全文；页面响应不能证明全文权限。</x:v>
      </x:c>
      <x:c r="N185" s="14" t="str">
        <x:v>从 DOI 或出版社页查看全文；也可使用学校图书馆或作者公开版本。</x:v>
      </x:c>
      <x:c r="O185" s="14" t="str">
        <x:v>因果机器学习的整体地图</x:v>
      </x:c>
      <x:c r="P185" s="14" t="str">
        <x:v>10.1146/annurev-economics-080217-053433</x:v>
      </x:c>
      <x:c r="Q185" s="14" t="str"/>
      <x:c r="R185" s="17"/>
      <x:c r="S185" s="14" t="str"/>
      <x:c r="T185" s="14" t="str"/>
      <x:c r="U185" s="19" t="n">
        <x:v>46303</x:v>
      </x:c>
    </x:row>
    <x:row r="186" ht="68" customHeight="1">
      <x:c r="A186" s="14" t="str">
        <x:v>D-62A2D3DD</x:v>
      </x:c>
      <x:c r="B186" s="14" t="str">
        <x:v>需人工获取</x:v>
      </x:c>
      <x:c r="C186" s="14" t="str">
        <x:v>Metalearners for estimating heterogeneous treatment effects using machine learning</x:v>
      </x:c>
      <x:c r="D186" s="14" t="str">
        <x:v>英文</x:v>
      </x:c>
      <x:c r="E186" s="15" t="str">
        <x:v>未处理</x:v>
      </x:c>
      <x:c r="F186" s="15" t="str"/>
      <x:c r="G186" s="16" t="str">
        <x:v>https://doi.org/10.1073/pnas.1804597116</x:v>
      </x:c>
      <x:c r="H186" s="14" t="str">
        <x:v>G11</x:v>
      </x:c>
      <x:c r="I186" s="14" t="str">
        <x:v>Künzel, S. R., Sekhon, J. S., Bickel, P. J., &amp; Yu, B.</x:v>
      </x:c>
      <x:c r="J186" s="18" t="n">
        <x:v>2019</x:v>
      </x:c>
      <x:c r="K186" s="14" t="str">
        <x:v>研究文献</x:v>
      </x:c>
      <x:c r="L186" s="14" t="str">
        <x:v>优先</x:v>
      </x:c>
      <x:c r="M186" s="14" t="str">
        <x:v>未取得全文；页面响应不能证明全文权限。</x:v>
      </x:c>
      <x:c r="N186" s="14" t="str">
        <x:v>从 DOI 或出版社页查看全文；也可使用学校图书馆或作者公开版本。</x:v>
      </x:c>
      <x:c r="O186" s="14" t="str">
        <x:v>S/T/X-learner 的提出与比较</x:v>
      </x:c>
      <x:c r="P186" s="14" t="str">
        <x:v>10.1073/pnas.1804597116</x:v>
      </x:c>
      <x:c r="Q186" s="14" t="str"/>
      <x:c r="R186" s="17"/>
      <x:c r="S186" s="14" t="str"/>
      <x:c r="T186" s="14" t="str"/>
      <x:c r="U186" s="19" t="n">
        <x:v>46303</x:v>
      </x:c>
    </x:row>
    <x:row r="187" ht="68" customHeight="1">
      <x:c r="A187" s="14" t="str">
        <x:v>D-72AA502F</x:v>
      </x:c>
      <x:c r="B187" s="14" t="str">
        <x:v>需人工获取</x:v>
      </x:c>
      <x:c r="C187" s="14" t="str">
        <x:v>Making sense of sensitivity: Extending omitted variable bias</x:v>
      </x:c>
      <x:c r="D187" s="14" t="str">
        <x:v>英文</x:v>
      </x:c>
      <x:c r="E187" s="15" t="str">
        <x:v>未处理</x:v>
      </x:c>
      <x:c r="F187" s="15" t="str"/>
      <x:c r="G187" s="16" t="str">
        <x:v>https://doi.org/10.1111/rssb.12348</x:v>
      </x:c>
      <x:c r="H187" s="14" t="str">
        <x:v>G12</x:v>
      </x:c>
      <x:c r="I187" s="14" t="str">
        <x:v>Cinelli, C., &amp; Hazlett, C.</x:v>
      </x:c>
      <x:c r="J187" s="18" t="n">
        <x:v>2020</x:v>
      </x:c>
      <x:c r="K187" s="14" t="str">
        <x:v>研究文献</x:v>
      </x:c>
      <x:c r="L187" s="14" t="str">
        <x:v>优先</x:v>
      </x:c>
      <x:c r="M187" s="14" t="str">
        <x:v>未取得全文；页面响应不能证明全文权限。</x:v>
      </x:c>
      <x:c r="N187" s="14" t="str">
        <x:v>从 DOI 或出版社页查看全文；也可使用学校图书馆或作者公开版本。</x:v>
      </x:c>
      <x:c r="O187" s="14" t="str">
        <x:v>sensemakr 的理论。「稳健性值」与基准比较的做法，是当前回归情形的最佳实践</x:v>
      </x:c>
      <x:c r="P187" s="14" t="str">
        <x:v>10.1111/rssb.12348</x:v>
      </x:c>
      <x:c r="Q187" s="14" t="str"/>
      <x:c r="R187" s="17"/>
      <x:c r="S187" s="14" t="str"/>
      <x:c r="T187" s="14" t="str"/>
      <x:c r="U187" s="19" t="n">
        <x:v>46303</x:v>
      </x:c>
    </x:row>
    <x:row r="188" ht="68" customHeight="1">
      <x:c r="A188" s="14" t="str">
        <x:v>D-6D942996</x:v>
      </x:c>
      <x:c r="B188" s="14" t="str">
        <x:v>需人工获取</x:v>
      </x:c>
      <x:c r="C188" s="14" t="str">
        <x:v>Sensitivity analysis in observational research: Introducing the E-value</x:v>
      </x:c>
      <x:c r="D188" s="14" t="str">
        <x:v>英文</x:v>
      </x:c>
      <x:c r="E188" s="15" t="str">
        <x:v>未处理</x:v>
      </x:c>
      <x:c r="F188" s="15" t="str"/>
      <x:c r="G188" s="16" t="str">
        <x:v>https://doi.org/10.7326/m16-2607</x:v>
      </x:c>
      <x:c r="H188" s="14" t="str">
        <x:v>G12</x:v>
      </x:c>
      <x:c r="I188" s="14" t="str">
        <x:v>VanderWeele, T. J., &amp; Ding, P.</x:v>
      </x:c>
      <x:c r="J188" s="18" t="n">
        <x:v>2017</x:v>
      </x:c>
      <x:c r="K188" s="14" t="str">
        <x:v>研究文献</x:v>
      </x:c>
      <x:c r="L188" s="14" t="str">
        <x:v>优先</x:v>
      </x:c>
      <x:c r="M188" s="14" t="str">
        <x:v>未取得全文；页面响应不能证明全文权限。</x:v>
      </x:c>
      <x:c r="N188" s="14" t="str">
        <x:v>从 DOI 或出版社页查看全文；也可使用学校图书馆或作者公开版本。</x:v>
      </x:c>
      <x:c r="O188" s="14" t="str">
        <x:v>**E-value 的原始文献**。写得极其清楚，非统计背景也能读</x:v>
      </x:c>
      <x:c r="P188" s="14" t="str">
        <x:v>10.7326/m16-2607</x:v>
      </x:c>
      <x:c r="Q188" s="14" t="str"/>
      <x:c r="R188" s="17"/>
      <x:c r="S188" s="14" t="str"/>
      <x:c r="T188" s="14" t="str"/>
      <x:c r="U188" s="19" t="n">
        <x:v>46303</x:v>
      </x:c>
    </x:row>
    <x:row r="189" ht="68" customHeight="1">
      <x:c r="A189" s="14" t="str">
        <x:v>D-686DE806</x:v>
      </x:c>
      <x:c r="B189" s="14" t="str">
        <x:v>需人工获取</x:v>
      </x:c>
      <x:c r="C189" s="14" t="str">
        <x:v>Technical considerations in the use of the E-value</x:v>
      </x:c>
      <x:c r="D189" s="14" t="str">
        <x:v>英文</x:v>
      </x:c>
      <x:c r="E189" s="15" t="str">
        <x:v>未处理</x:v>
      </x:c>
      <x:c r="F189" s="15" t="str"/>
      <x:c r="G189" s="16" t="str">
        <x:v>https://doi.org/10.1515/jci-2018-0007</x:v>
      </x:c>
      <x:c r="H189" s="14" t="str">
        <x:v>G12</x:v>
      </x:c>
      <x:c r="I189" s="14" t="str">
        <x:v>VanderWeele, T. J., Ding, P., &amp; Mathur, M.</x:v>
      </x:c>
      <x:c r="J189" s="18" t="n">
        <x:v>2019</x:v>
      </x:c>
      <x:c r="K189" s="14" t="str">
        <x:v>研究文献</x:v>
      </x:c>
      <x:c r="L189" s="14" t="str">
        <x:v>优先</x:v>
      </x:c>
      <x:c r="M189" s="14" t="str">
        <x:v>未取得全文；页面响应不能证明全文权限。</x:v>
      </x:c>
      <x:c r="N189" s="14" t="str">
        <x:v>从 DOI 或出版社页查看全文；也可使用学校图书馆或作者公开版本。</x:v>
      </x:c>
      <x:c r="O189" s="14" t="str">
        <x:v>E-value 的常见误用与技术细节</x:v>
      </x:c>
      <x:c r="P189" s="14" t="str">
        <x:v>10.1515/jci-2018-0007</x:v>
      </x:c>
      <x:c r="Q189" s="14" t="str"/>
      <x:c r="R189" s="17"/>
      <x:c r="S189" s="14" t="str"/>
      <x:c r="T189" s="14" t="str"/>
      <x:c r="U189" s="19" t="n">
        <x:v>46303</x:v>
      </x:c>
    </x:row>
    <x:row r="190" ht="68" customHeight="1">
      <x:c r="A190" s="14" t="str">
        <x:v>D-EE0447FA</x:v>
      </x:c>
      <x:c r="B190" s="14" t="str">
        <x:v>需人工获取</x:v>
      </x:c>
      <x:c r="C190" s="14" t="str">
        <x:v>Observational data for comparative effectiveness research: An emulation of randomised trials</x:v>
      </x:c>
      <x:c r="D190" s="14" t="str">
        <x:v>英文</x:v>
      </x:c>
      <x:c r="E190" s="15" t="str">
        <x:v>未处理</x:v>
      </x:c>
      <x:c r="F190" s="15" t="str"/>
      <x:c r="G190" s="16" t="str">
        <x:v>https://doi.org/10.1177/0962280211403603</x:v>
      </x:c>
      <x:c r="H190" s="14" t="str">
        <x:v>G15</x:v>
      </x:c>
      <x:c r="I190" s="14" t="str">
        <x:v>Danaei, G., Rodríguez, L. A. G., Cantero, O. F., Logan, R., &amp; Hernán, M. A.</x:v>
      </x:c>
      <x:c r="J190" s="18" t="n">
        <x:v>2013</x:v>
      </x:c>
      <x:c r="K190" s="14" t="str">
        <x:v>研究文献</x:v>
      </x:c>
      <x:c r="L190" s="14" t="str">
        <x:v>优先</x:v>
      </x:c>
      <x:c r="M190" s="14" t="str">
        <x:v>未取得全文；页面响应不能证明全文权限。</x:v>
      </x:c>
      <x:c r="N190" s="14" t="str">
        <x:v>从 DOI 或出版社页查看全文；也可使用学校图书馆或作者公开版本。</x:v>
      </x:c>
      <x:c r="O190" s="14" t="str">
        <x:v>**观察研究与 RCT 结论不一致，很多时候是设计错误而非混淆**</x:v>
      </x:c>
      <x:c r="P190" s="14" t="str">
        <x:v>10.1177/0962280211403603</x:v>
      </x:c>
      <x:c r="Q190" s="14" t="str"/>
      <x:c r="R190" s="17"/>
      <x:c r="S190" s="14" t="str"/>
      <x:c r="T190" s="14" t="str"/>
      <x:c r="U190" s="19" t="n">
        <x:v>46303</x:v>
      </x:c>
    </x:row>
    <x:row r="191" ht="68" customHeight="1">
      <x:c r="A191" s="14" t="str">
        <x:v>D-12CA7FD8</x:v>
      </x:c>
      <x:c r="B191" s="14" t="str">
        <x:v>需人工获取</x:v>
      </x:c>
      <x:c r="C191" s="14" t="str">
        <x:v>Using big data to emulate a target trial when a randomized trial is not available</x:v>
      </x:c>
      <x:c r="D191" s="14" t="str">
        <x:v>英文</x:v>
      </x:c>
      <x:c r="E191" s="15" t="str">
        <x:v>未处理</x:v>
      </x:c>
      <x:c r="F191" s="15" t="str"/>
      <x:c r="G191" s="16" t="str">
        <x:v>https://doi.org/10.1093/aje/kwv254</x:v>
      </x:c>
      <x:c r="H191" s="14" t="str">
        <x:v>G15</x:v>
      </x:c>
      <x:c r="I191" s="14" t="str">
        <x:v>Hernán, M. A., &amp; Robins, J. M.</x:v>
      </x:c>
      <x:c r="J191" s="18" t="n">
        <x:v>2016</x:v>
      </x:c>
      <x:c r="K191" s="14" t="str">
        <x:v>研究文献</x:v>
      </x:c>
      <x:c r="L191" s="14" t="str">
        <x:v>优先</x:v>
      </x:c>
      <x:c r="M191" s="14" t="str">
        <x:v>未取得全文；页面响应不能证明全文权限。</x:v>
      </x:c>
      <x:c r="N191" s="14" t="str">
        <x:v>从 DOI 或出版社页查看全文；也可使用学校图书馆或作者公开版本。</x:v>
      </x:c>
      <x:c r="O191" s="14" t="str">
        <x:v>**目标试验模拟框架的原始文献**</x:v>
      </x:c>
      <x:c r="P191" s="14" t="str">
        <x:v>10.1093/aje/kwv254</x:v>
      </x:c>
      <x:c r="Q191" s="14" t="str"/>
      <x:c r="R191" s="17"/>
      <x:c r="S191" s="14" t="str"/>
      <x:c r="T191" s="14" t="str"/>
      <x:c r="U191" s="19" t="n">
        <x:v>46303</x:v>
      </x:c>
    </x:row>
    <x:row r="192" ht="68" customHeight="1">
      <x:c r="A192" s="14" t="str">
        <x:v>D-50BAC246</x:v>
      </x:c>
      <x:c r="B192" s="14" t="str">
        <x:v>需人工获取</x:v>
      </x:c>
      <x:c r="C192" s="14" t="str">
        <x:v>An Introduction to the Augmented Inverse Propensity Weighted Estimator</x:v>
      </x:c>
      <x:c r="D192" s="14" t="str">
        <x:v>英文</x:v>
      </x:c>
      <x:c r="E192" s="15" t="str">
        <x:v>未处理</x:v>
      </x:c>
      <x:c r="F192" s="15" t="str"/>
      <x:c r="G192" s="16" t="str">
        <x:v>https://doi.org/10.1093/pan/mpp036</x:v>
      </x:c>
      <x:c r="H192" s="14" t="str">
        <x:v>G17</x:v>
      </x:c>
      <x:c r="I192" s="14" t="str">
        <x:v>Adam N. Glynn; Kevin M. Quinn</x:v>
      </x:c>
      <x:c r="J192" s="18" t="n">
        <x:v>2010</x:v>
      </x:c>
      <x:c r="K192" s="14" t="str">
        <x:v>研究文献</x:v>
      </x:c>
      <x:c r="L192" s="14" t="str">
        <x:v>优先</x:v>
      </x:c>
      <x:c r="M192" s="14" t="str">
        <x:v>未取得全文；页面响应不能证明全文权限。</x:v>
      </x:c>
      <x:c r="N192" s="14" t="str">
        <x:v>从 DOI 或出版社页查看全文；也可使用学校图书馆或作者公开版本。</x:v>
      </x:c>
      <x:c r="O192" s="14" t="str">
        <x:v>面向社会科学读者的 AIPW 教程；出版社所列勘误应一并参考。</x:v>
      </x:c>
      <x:c r="P192" s="14" t="str">
        <x:v>10.1093/pan/mpp036</x:v>
      </x:c>
      <x:c r="Q192" s="14" t="str"/>
      <x:c r="R192" s="17"/>
      <x:c r="S192" s="14" t="str"/>
      <x:c r="T192" s="14" t="str"/>
      <x:c r="U192" s="19" t="n">
        <x:v>46303</x:v>
      </x:c>
    </x:row>
    <x:row r="193" ht="68" customHeight="1">
      <x:c r="A193" s="14" t="str">
        <x:v>D-E5A98DB1</x:v>
      </x:c>
      <x:c r="B193" s="14" t="str">
        <x:v>需人工获取</x:v>
      </x:c>
      <x:c r="C193" s="14" t="str">
        <x:v>Double robust, flexible adjustment methods for causal inference: An overview and an evaluation</x:v>
      </x:c>
      <x:c r="D193" s="14" t="str">
        <x:v>英文</x:v>
      </x:c>
      <x:c r="E193" s="15" t="str">
        <x:v>未处理</x:v>
      </x:c>
      <x:c r="F193" s="15" t="str"/>
      <x:c r="G193" s="16" t="str">
        <x:v>https://doi.org/10.1016/j.ssresearch.2026.103420</x:v>
      </x:c>
      <x:c r="H193" s="14" t="str">
        <x:v>G17</x:v>
      </x:c>
      <x:c r="I193" s="14" t="str">
        <x:v>Nathan I. Hoffmann</x:v>
      </x:c>
      <x:c r="J193" s="18" t="n">
        <x:v>2026</x:v>
      </x:c>
      <x:c r="K193" s="14" t="str">
        <x:v>研究文献</x:v>
      </x:c>
      <x:c r="L193" s="14" t="str">
        <x:v>优先</x:v>
      </x:c>
      <x:c r="M193" s="14" t="str">
        <x:v>未取得全文；页面响应不能证明全文权限。</x:v>
      </x:c>
      <x:c r="N193" s="14" t="str">
        <x:v>从 DOI 或出版社页查看全文；也可使用学校图书馆或作者公开版本。</x:v>
      </x:c>
      <x:c r="O193" s="14" t="str">
        <x:v>双重稳健与灵活调整方法的综述及评估；为 AIPW/TMLE 学习提供比较入口。</x:v>
      </x:c>
      <x:c r="P193" s="14" t="str">
        <x:v>10.1016/j.ssresearch.2026.103420</x:v>
      </x:c>
      <x:c r="Q193" s="14" t="str"/>
      <x:c r="R193" s="17"/>
      <x:c r="S193" s="14" t="str"/>
      <x:c r="T193" s="14" t="str"/>
      <x:c r="U193" s="19" t="n">
        <x:v>46303</x:v>
      </x:c>
    </x:row>
    <x:row r="194" ht="68" customHeight="1">
      <x:c r="A194" s="14" t="str">
        <x:v>D-6B684C42</x:v>
      </x:c>
      <x:c r="B194" s="14" t="str">
        <x:v>需人工获取</x:v>
      </x:c>
      <x:c r="C194" s="14" t="str">
        <x:v>Targeted Maximum Likelihood Learning</x:v>
      </x:c>
      <x:c r="D194" s="14" t="str">
        <x:v>英文</x:v>
      </x:c>
      <x:c r="E194" s="15" t="str">
        <x:v>未处理</x:v>
      </x:c>
      <x:c r="F194" s="15" t="str"/>
      <x:c r="G194" s="16" t="str">
        <x:v>https://doi.org/10.2202/1557-4679.1043</x:v>
      </x:c>
      <x:c r="H194" s="14" t="str">
        <x:v>G17</x:v>
      </x:c>
      <x:c r="I194" s="14" t="str">
        <x:v>Mark J. van der Laan; Daniel Rubin</x:v>
      </x:c>
      <x:c r="J194" s="18" t="n">
        <x:v>2006</x:v>
      </x:c>
      <x:c r="K194" s="14" t="str">
        <x:v>研究文献</x:v>
      </x:c>
      <x:c r="L194" s="14" t="str">
        <x:v>优先</x:v>
      </x:c>
      <x:c r="M194" s="14" t="str">
        <x:v>未取得全文；页面响应不能证明全文权限。</x:v>
      </x:c>
      <x:c r="N194" s="14" t="str">
        <x:v>从 DOI 或出版社页查看全文；也可使用学校图书馆或作者公开版本。</x:v>
      </x:c>
      <x:c r="O194" s="14" t="str">
        <x:v>目标最大似然学习的基础论文；与近期综述和官方教材衔接。</x:v>
      </x:c>
      <x:c r="P194" s="14" t="str">
        <x:v>10.2202/1557-4679.1043</x:v>
      </x:c>
      <x:c r="Q194" s="14" t="str"/>
      <x:c r="R194" s="17"/>
      <x:c r="S194" s="14" t="str"/>
      <x:c r="T194" s="14" t="str"/>
      <x:c r="U194" s="19" t="n">
        <x:v>46303</x:v>
      </x:c>
    </x:row>
    <x:row r="195" ht="68" customHeight="1">
      <x:c r="A195" s="14" t="str">
        <x:v>D-706A7D1A</x:v>
      </x:c>
      <x:c r="B195" s="14" t="str">
        <x:v>需人工获取</x:v>
      </x:c>
      <x:c r="C195" s="14" t="str">
        <x:v>Moving beyond the hazard ratio in quantifying the between-group difference in survival analysis</x:v>
      </x:c>
      <x:c r="D195" s="14" t="str">
        <x:v>英文</x:v>
      </x:c>
      <x:c r="E195" s="15" t="str">
        <x:v>未处理</x:v>
      </x:c>
      <x:c r="F195" s="15" t="str"/>
      <x:c r="G195" s="16" t="str">
        <x:v>https://doi.org/10.1200/jco.2014.55.2208</x:v>
      </x:c>
      <x:c r="H195" s="14" t="str">
        <x:v>H01</x:v>
      </x:c>
      <x:c r="I195" s="14" t="str">
        <x:v>Uno, H., Claggett, B., Tian, L., et al.</x:v>
      </x:c>
      <x:c r="J195" s="18" t="n">
        <x:v>2014</x:v>
      </x:c>
      <x:c r="K195" s="14" t="str">
        <x:v>研究文献</x:v>
      </x:c>
      <x:c r="L195" s="14" t="str">
        <x:v>优先</x:v>
      </x:c>
      <x:c r="M195" s="14" t="str">
        <x:v>未取得全文；页面响应不能证明全文权限。</x:v>
      </x:c>
      <x:c r="N195" s="14" t="str">
        <x:v>从 DOI 或出版社页查看全文；也可使用学校图书馆或作者公开版本。</x:v>
      </x:c>
      <x:c r="O195" s="14" t="str">
        <x:v>RMST 作为 HR 的替代</x:v>
      </x:c>
      <x:c r="P195" s="14" t="str">
        <x:v>10.1200/jco.2014.55.2208</x:v>
      </x:c>
      <x:c r="Q195" s="14" t="str"/>
      <x:c r="R195" s="17"/>
      <x:c r="S195" s="14" t="str"/>
      <x:c r="T195" s="14" t="str"/>
      <x:c r="U195" s="19" t="n">
        <x:v>46303</x:v>
      </x:c>
    </x:row>
    <x:row r="196" ht="68" customHeight="1">
      <x:c r="A196" s="14" t="str">
        <x:v>D-ABF81C85</x:v>
      </x:c>
      <x:c r="B196" s="14" t="str">
        <x:v>需人工获取</x:v>
      </x:c>
      <x:c r="C196" s="14" t="str">
        <x:v>Nonparametric estimation from incomplete observations</x:v>
      </x:c>
      <x:c r="D196" s="14" t="str">
        <x:v>英文</x:v>
      </x:c>
      <x:c r="E196" s="15" t="str">
        <x:v>未处理</x:v>
      </x:c>
      <x:c r="F196" s="15" t="str"/>
      <x:c r="G196" s="16" t="str">
        <x:v>https://doi.org/10.1080/01621459.1958.10501452</x:v>
      </x:c>
      <x:c r="H196" s="14" t="str">
        <x:v>H01</x:v>
      </x:c>
      <x:c r="I196" s="14" t="str">
        <x:v>Kaplan, E. L., &amp; Meier, P.</x:v>
      </x:c>
      <x:c r="J196" s="18" t="n">
        <x:v>1958</x:v>
      </x:c>
      <x:c r="K196" s="14" t="str">
        <x:v>研究文献</x:v>
      </x:c>
      <x:c r="L196" s="14" t="str">
        <x:v>优先</x:v>
      </x:c>
      <x:c r="M196" s="14" t="str">
        <x:v>未取得全文；页面响应不能证明全文权限。</x:v>
      </x:c>
      <x:c r="N196" s="14" t="str">
        <x:v>从 DOI 或出版社页查看全文；也可使用学校图书馆或作者公开版本。</x:v>
      </x:c>
      <x:c r="O196" s="14" t="str">
        <x:v>KM 估计的来源</x:v>
      </x:c>
      <x:c r="P196" s="14" t="str">
        <x:v>10.1080/01621459.1958.10501452</x:v>
      </x:c>
      <x:c r="Q196" s="14" t="str"/>
      <x:c r="R196" s="17"/>
      <x:c r="S196" s="14" t="str"/>
      <x:c r="T196" s="14" t="str"/>
      <x:c r="U196" s="19" t="n">
        <x:v>46303</x:v>
      </x:c>
    </x:row>
    <x:row r="197" ht="68" customHeight="1">
      <x:c r="A197" s="14" t="str">
        <x:v>D-3B5EA925</x:v>
      </x:c>
      <x:c r="B197" s="14" t="str">
        <x:v>需人工获取</x:v>
      </x:c>
      <x:c r="C197" s="14" t="str">
        <x:v>A proportional hazards model for the subdistribution of a competing risk</x:v>
      </x:c>
      <x:c r="D197" s="14" t="str">
        <x:v>英文</x:v>
      </x:c>
      <x:c r="E197" s="15" t="str">
        <x:v>未处理</x:v>
      </x:c>
      <x:c r="F197" s="15" t="str"/>
      <x:c r="G197" s="16" t="str">
        <x:v>https://doi.org/10.1080/01621459.1999.10474144</x:v>
      </x:c>
      <x:c r="H197" s="14" t="str">
        <x:v>H02</x:v>
      </x:c>
      <x:c r="I197" s="14" t="str">
        <x:v>Fine, J. P., &amp; Gray, R. J.</x:v>
      </x:c>
      <x:c r="J197" s="18" t="n">
        <x:v>1999</x:v>
      </x:c>
      <x:c r="K197" s="14" t="str">
        <x:v>研究文献</x:v>
      </x:c>
      <x:c r="L197" s="14" t="str">
        <x:v>优先</x:v>
      </x:c>
      <x:c r="M197" s="14" t="str">
        <x:v>未取得全文；页面响应不能证明全文权限。</x:v>
      </x:c>
      <x:c r="N197" s="14" t="str">
        <x:v>从 DOI 或出版社页查看全文；也可使用学校图书馆或作者公开版本。</x:v>
      </x:c>
      <x:c r="O197" s="14" t="str">
        <x:v>竞争风险的 Fine-Gray 模型</x:v>
      </x:c>
      <x:c r="P197" s="14" t="str">
        <x:v>10.1080/01621459.1999.10474144</x:v>
      </x:c>
      <x:c r="Q197" s="14" t="str"/>
      <x:c r="R197" s="17"/>
      <x:c r="S197" s="14" t="str"/>
      <x:c r="T197" s="14" t="str"/>
      <x:c r="U197" s="19" t="n">
        <x:v>46303</x:v>
      </x:c>
    </x:row>
    <x:row r="198" ht="68" customHeight="1">
      <x:c r="A198" s="14" t="str">
        <x:v>D-9BFAC2A1</x:v>
      </x:c>
      <x:c r="B198" s="14" t="str">
        <x:v>需人工获取</x:v>
      </x:c>
      <x:c r="C198" s="14" t="str">
        <x:v>Applied Longitudinal Data Analysis</x:v>
      </x:c>
      <x:c r="D198" s="14" t="str">
        <x:v>英文</x:v>
      </x:c>
      <x:c r="E198" s="15" t="str">
        <x:v>未处理</x:v>
      </x:c>
      <x:c r="F198" s="15" t="str"/>
      <x:c r="G198" s="16" t="str">
        <x:v>https://doi.org/10.1093/acprof:oso/9780195152968.001.0001</x:v>
      </x:c>
      <x:c r="H198" s="14" t="str">
        <x:v>H02</x:v>
      </x:c>
      <x:c r="I198" s="14" t="str">
        <x:v>Singer, J. D., &amp; Willett, J. B.</x:v>
      </x:c>
      <x:c r="J198" s="18" t="n">
        <x:v>2003</x:v>
      </x:c>
      <x:c r="K198" s="14" t="str">
        <x:v>研究文献</x:v>
      </x:c>
      <x:c r="L198" s="14" t="str">
        <x:v>优先</x:v>
      </x:c>
      <x:c r="M198" s="14" t="str">
        <x:v>未取得全文；页面响应不能证明全文权限。</x:v>
      </x:c>
      <x:c r="N198" s="14" t="str">
        <x:v>从 DOI 或出版社页查看全文；也可使用学校图书馆或作者公开版本。</x:v>
      </x:c>
      <x:c r="O198" s="14" t="str">
        <x:v>纵向数据分析的经典教材，后半本全是生存分析</x:v>
      </x:c>
      <x:c r="P198" s="14" t="str">
        <x:v>10.1093/acprof:oso/9780195152968.001.0001</x:v>
      </x:c>
      <x:c r="Q198" s="14" t="str"/>
      <x:c r="R198" s="17"/>
      <x:c r="S198" s="14" t="str"/>
      <x:c r="T198" s="14" t="str"/>
      <x:c r="U198" s="19" t="n">
        <x:v>46303</x:v>
      </x:c>
    </x:row>
    <x:row r="199" ht="68" customHeight="1">
      <x:c r="A199" s="14" t="str">
        <x:v>D-1989C32B</x:v>
      </x:c>
      <x:c r="B199" s="14" t="str">
        <x:v>需人工获取</x:v>
      </x:c>
      <x:c r="C199" s="14" t="str">
        <x:v>It's about time: Using discrete-time survival analysis to study duration and the timing of events</x:v>
      </x:c>
      <x:c r="D199" s="14" t="str">
        <x:v>英文</x:v>
      </x:c>
      <x:c r="E199" s="15" t="str">
        <x:v>未处理</x:v>
      </x:c>
      <x:c r="F199" s="15" t="str"/>
      <x:c r="G199" s="16" t="str">
        <x:v>https://doi.org/10.2307/1165085</x:v>
      </x:c>
      <x:c r="H199" s="14" t="str">
        <x:v>H02</x:v>
      </x:c>
      <x:c r="I199" s="14" t="str">
        <x:v>Singer, J. D., &amp; Willett, J. B.</x:v>
      </x:c>
      <x:c r="J199" s="18" t="n">
        <x:v>1993</x:v>
      </x:c>
      <x:c r="K199" s="14" t="str">
        <x:v>研究文献</x:v>
      </x:c>
      <x:c r="L199" s="14" t="str">
        <x:v>优先</x:v>
      </x:c>
      <x:c r="M199" s="14" t="str">
        <x:v>未取得全文；页面响应不能证明全文权限。</x:v>
      </x:c>
      <x:c r="N199" s="14" t="str">
        <x:v>从 DOI 或出版社页查看全文；也可使用学校图书馆或作者公开版本。</x:v>
      </x:c>
      <x:c r="O199" s="14" t="str">
        <x:v>**写给社会科学的离散时间生存分析**，人-时期展开的标准做法</x:v>
      </x:c>
      <x:c r="P199" s="14" t="str">
        <x:v>10.2307/1165085</x:v>
      </x:c>
      <x:c r="Q199" s="14" t="str"/>
      <x:c r="R199" s="17"/>
      <x:c r="S199" s="14" t="str"/>
      <x:c r="T199" s="14" t="str"/>
      <x:c r="U199" s="19" t="n">
        <x:v>46303</x:v>
      </x:c>
    </x:row>
    <x:row r="200" ht="68" customHeight="1">
      <x:c r="A200" s="14" t="str">
        <x:v>D-65177A39</x:v>
      </x:c>
      <x:c r="B200" s="14" t="str">
        <x:v>需人工获取</x:v>
      </x:c>
      <x:c r="C200" s="14" t="str">
        <x:v>Time Series Analysis: Forecasting and Control</x:v>
      </x:c>
      <x:c r="D200" s="14" t="str">
        <x:v>英文</x:v>
      </x:c>
      <x:c r="E200" s="15" t="str">
        <x:v>未处理</x:v>
      </x:c>
      <x:c r="F200" s="15" t="str"/>
      <x:c r="G200" s="16" t="str">
        <x:v>https://ntrl.ntis.gov/NTRL/dashboard/searchResults/titleDetail/AD720286.xhtml</x:v>
      </x:c>
      <x:c r="H200" s="14" t="str">
        <x:v>H03</x:v>
      </x:c>
      <x:c r="I200" s="14" t="str">
        <x:v>Box, G. E. P., &amp; Jenkins, G. M.</x:v>
      </x:c>
      <x:c r="J200" s="18" t="n">
        <x:v>1970</x:v>
      </x:c>
      <x:c r="K200" s="14" t="str">
        <x:v>研究文献</x:v>
      </x:c>
      <x:c r="L200" s="14" t="str">
        <x:v>优先</x:v>
      </x:c>
      <x:c r="M200" s="14" t="str">
        <x:v>未取得全文；页面响应不能证明全文权限。</x:v>
      </x:c>
      <x:c r="N200" s="14" t="str">
        <x:v>从 DOI 或出版社页查看全文；也可使用学校图书馆或作者公开版本。</x:v>
      </x:c>
      <x:c r="O200" s="14" t="str">
        <x:v>ARIMA 与 Box-Jenkins 方法的来源</x:v>
      </x:c>
      <x:c r="P200" s="14" t="str"/>
      <x:c r="Q200" s="14" t="str"/>
      <x:c r="R200" s="17"/>
      <x:c r="S200" s="14" t="str"/>
      <x:c r="T200" s="14" t="str"/>
      <x:c r="U200" s="19" t="n">
        <x:v>46303</x:v>
      </x:c>
    </x:row>
    <x:row r="201" ht="68" customHeight="1">
      <x:c r="A201" s="14" t="str">
        <x:v>D-753531A8</x:v>
      </x:c>
      <x:c r="B201" s="14" t="str">
        <x:v>需人工获取</x:v>
      </x:c>
      <x:c r="C201" s="14" t="str">
        <x:v>Investigating causal relations by econometric models and cross-spectral methods</x:v>
      </x:c>
      <x:c r="D201" s="14" t="str">
        <x:v>英文</x:v>
      </x:c>
      <x:c r="E201" s="15" t="str">
        <x:v>未处理</x:v>
      </x:c>
      <x:c r="F201" s="15" t="str"/>
      <x:c r="G201" s="16" t="str">
        <x:v>https://doi.org/10.2307/1912791</x:v>
      </x:c>
      <x:c r="H201" s="14" t="str">
        <x:v>H04</x:v>
      </x:c>
      <x:c r="I201" s="14" t="str">
        <x:v>Granger, C. W. J.</x:v>
      </x:c>
      <x:c r="J201" s="18" t="n">
        <x:v>1969</x:v>
      </x:c>
      <x:c r="K201" s="14" t="str">
        <x:v>研究文献</x:v>
      </x:c>
      <x:c r="L201" s="14" t="str">
        <x:v>优先</x:v>
      </x:c>
      <x:c r="M201" s="14" t="str">
        <x:v>未取得全文；页面响应不能证明全文权限。</x:v>
      </x:c>
      <x:c r="N201" s="14" t="str">
        <x:v>从 DOI 或出版社页查看全文；也可使用学校图书馆或作者公开版本。</x:v>
      </x:c>
      <x:c r="O201" s="14" t="str">
        <x:v>格兰杰因果的来源</x:v>
      </x:c>
      <x:c r="P201" s="14" t="str">
        <x:v>10.2307/1912791</x:v>
      </x:c>
      <x:c r="Q201" s="14" t="str"/>
      <x:c r="R201" s="17"/>
      <x:c r="S201" s="14" t="str"/>
      <x:c r="T201" s="14" t="str"/>
      <x:c r="U201" s="19" t="n">
        <x:v>46303</x:v>
      </x:c>
    </x:row>
    <x:row r="202" ht="68" customHeight="1">
      <x:c r="A202" s="14" t="str">
        <x:v>D-D3F96577</x:v>
      </x:c>
      <x:c r="B202" s="14" t="str">
        <x:v>需人工获取</x:v>
      </x:c>
      <x:c r="C202" s="14" t="str">
        <x:v>Macroeconomics and reality</x:v>
      </x:c>
      <x:c r="D202" s="14" t="str">
        <x:v>英文</x:v>
      </x:c>
      <x:c r="E202" s="15" t="str">
        <x:v>未处理</x:v>
      </x:c>
      <x:c r="F202" s="15" t="str"/>
      <x:c r="G202" s="16" t="str">
        <x:v>https://doi.org/10.2307/1912017</x:v>
      </x:c>
      <x:c r="H202" s="14" t="str">
        <x:v>H04</x:v>
      </x:c>
      <x:c r="I202" s="14" t="str">
        <x:v>Sims, C. A.</x:v>
      </x:c>
      <x:c r="J202" s="18" t="n">
        <x:v>1980</x:v>
      </x:c>
      <x:c r="K202" s="14" t="str">
        <x:v>研究文献</x:v>
      </x:c>
      <x:c r="L202" s="14" t="str">
        <x:v>优先</x:v>
      </x:c>
      <x:c r="M202" s="14" t="str">
        <x:v>未取得全文；页面响应不能证明全文权限。</x:v>
      </x:c>
      <x:c r="N202" s="14" t="str">
        <x:v>从 DOI 或出版社页查看全文；也可使用学校图书馆或作者公开版本。</x:v>
      </x:c>
      <x:c r="O202" s="14" t="str">
        <x:v>VAR 的原始文献</x:v>
      </x:c>
      <x:c r="P202" s="14" t="str">
        <x:v>10.2307/1912017</x:v>
      </x:c>
      <x:c r="Q202" s="14" t="str"/>
      <x:c r="R202" s="17"/>
      <x:c r="S202" s="14" t="str"/>
      <x:c r="T202" s="14" t="str"/>
      <x:c r="U202" s="19" t="n">
        <x:v>46303</x:v>
      </x:c>
    </x:row>
    <x:row r="203" ht="68" customHeight="1">
      <x:c r="A203" s="14" t="str">
        <x:v>D-B3BF6B1E</x:v>
      </x:c>
      <x:c r="B203" s="14" t="str">
        <x:v>需人工获取</x:v>
      </x:c>
      <x:c r="C203" s="14" t="str">
        <x:v>Inferring causal impact using Bayesian structural time-series models</x:v>
      </x:c>
      <x:c r="D203" s="14" t="str">
        <x:v>英文</x:v>
      </x:c>
      <x:c r="E203" s="15" t="str">
        <x:v>未处理</x:v>
      </x:c>
      <x:c r="F203" s="15" t="str"/>
      <x:c r="G203" s="16" t="str">
        <x:v>https://doi.org/10.1214/14-aoas788</x:v>
      </x:c>
      <x:c r="H203" s="14" t="str">
        <x:v>H05</x:v>
      </x:c>
      <x:c r="I203" s="14" t="str">
        <x:v>Brodersen, K. H., Gallusser, F., Koehler, J., Remy, N., &amp; Scott, S. L.</x:v>
      </x:c>
      <x:c r="J203" s="18" t="n">
        <x:v>2015</x:v>
      </x:c>
      <x:c r="K203" s="14" t="str">
        <x:v>研究文献</x:v>
      </x:c>
      <x:c r="L203" s="14" t="str">
        <x:v>优先</x:v>
      </x:c>
      <x:c r="M203" s="14" t="str">
        <x:v>未取得全文；页面响应不能证明全文权限。</x:v>
      </x:c>
      <x:c r="N203" s="14" t="str">
        <x:v>从 DOI 或出版社页查看全文；也可使用学校图书馆或作者公开版本。</x:v>
      </x:c>
      <x:c r="O203" s="14" t="str">
        <x:v>CausalImpact 的理论：用对照序列自动构造反事实</x:v>
      </x:c>
      <x:c r="P203" s="14" t="str">
        <x:v>10.1214/14-aoas788</x:v>
      </x:c>
      <x:c r="Q203" s="14" t="str"/>
      <x:c r="R203" s="17"/>
      <x:c r="S203" s="14" t="str"/>
      <x:c r="T203" s="14" t="str"/>
      <x:c r="U203" s="19" t="n">
        <x:v>46303</x:v>
      </x:c>
    </x:row>
    <x:row r="204" ht="68" customHeight="1">
      <x:c r="A204" s="14" t="str">
        <x:v>D-E77E4473</x:v>
      </x:c>
      <x:c r="B204" s="14" t="str">
        <x:v>需人工获取</x:v>
      </x:c>
      <x:c r="C204" s="14" t="str">
        <x:v>Interrupted time series regression for the evaluation of public health interventions: A tutorial</x:v>
      </x:c>
      <x:c r="D204" s="14" t="str">
        <x:v>英文</x:v>
      </x:c>
      <x:c r="E204" s="15" t="str">
        <x:v>未处理</x:v>
      </x:c>
      <x:c r="F204" s="15" t="str"/>
      <x:c r="G204" s="16" t="str">
        <x:v>https://doi.org/10.1093/ije/dyw098</x:v>
      </x:c>
      <x:c r="H204" s="14" t="str">
        <x:v>H05</x:v>
      </x:c>
      <x:c r="I204" s="14" t="str">
        <x:v>Bernal, J. L., Cummins, S., &amp; Gasparrini, A.</x:v>
      </x:c>
      <x:c r="J204" s="18" t="n">
        <x:v>2017</x:v>
      </x:c>
      <x:c r="K204" s="14" t="str">
        <x:v>研究文献</x:v>
      </x:c>
      <x:c r="L204" s="14" t="str">
        <x:v>优先</x:v>
      </x:c>
      <x:c r="M204" s="14" t="str">
        <x:v>未取得全文；页面响应不能证明全文权限。</x:v>
      </x:c>
      <x:c r="N204" s="14" t="str">
        <x:v>从 DOI 或出版社页查看全文；也可使用学校图书馆或作者公开版本。</x:v>
      </x:c>
      <x:c r="O204" s="14" t="str">
        <x:v>**最实用的 ITS 教程**，含代码与常见错误</x:v>
      </x:c>
      <x:c r="P204" s="14" t="str">
        <x:v>10.1093/ije/dyw098</x:v>
      </x:c>
      <x:c r="Q204" s="14" t="str"/>
      <x:c r="R204" s="17"/>
      <x:c r="S204" s="14" t="str"/>
      <x:c r="T204" s="14" t="str"/>
      <x:c r="U204" s="19" t="n">
        <x:v>46303</x:v>
      </x:c>
    </x:row>
    <x:row r="205" ht="68" customHeight="1">
      <x:c r="A205" s="14" t="str">
        <x:v>D-462B755A</x:v>
      </x:c>
      <x:c r="B205" s="14" t="str">
        <x:v>需人工获取</x:v>
      </x:c>
      <x:c r="C205" s="14" t="str">
        <x:v>Intervention analysis with applications to economic and environmental problems</x:v>
      </x:c>
      <x:c r="D205" s="14" t="str">
        <x:v>英文</x:v>
      </x:c>
      <x:c r="E205" s="15" t="str">
        <x:v>未处理</x:v>
      </x:c>
      <x:c r="F205" s="15" t="str"/>
      <x:c r="G205" s="16" t="str">
        <x:v>https://doi.org/10.1080/01621459.1975.10480264</x:v>
      </x:c>
      <x:c r="H205" s="14" t="str">
        <x:v>H05</x:v>
      </x:c>
      <x:c r="I205" s="14" t="str">
        <x:v>Box, G. E. P., &amp; Tiao, G. C.</x:v>
      </x:c>
      <x:c r="J205" s="18" t="n">
        <x:v>1975</x:v>
      </x:c>
      <x:c r="K205" s="14" t="str">
        <x:v>研究文献</x:v>
      </x:c>
      <x:c r="L205" s="14" t="str">
        <x:v>优先</x:v>
      </x:c>
      <x:c r="M205" s="14" t="str">
        <x:v>未取得全文；页面响应不能证明全文权限。</x:v>
      </x:c>
      <x:c r="N205" s="14" t="str">
        <x:v>从 DOI 或出版社页查看全文；也可使用学校图书馆或作者公开版本。</x:v>
      </x:c>
      <x:c r="O205" s="14" t="str">
        <x:v>干预分析的原始文献</x:v>
      </x:c>
      <x:c r="P205" s="14" t="str">
        <x:v>10.1080/01621459.1975.10480264</x:v>
      </x:c>
      <x:c r="Q205" s="14" t="str"/>
      <x:c r="R205" s="17"/>
      <x:c r="S205" s="14" t="str"/>
      <x:c r="T205" s="14" t="str"/>
      <x:c r="U205" s="19" t="n">
        <x:v>46303</x:v>
      </x:c>
    </x:row>
    <x:row r="206" ht="68" customHeight="1">
      <x:c r="A206" s="14" t="str">
        <x:v>D-975F138E</x:v>
      </x:c>
      <x:c r="B206" s="14" t="str">
        <x:v>需人工获取</x:v>
      </x:c>
      <x:c r="C206" s="14" t="str">
        <x:v>Experience sampling methodology in mental health research: New insights and technical developments</x:v>
      </x:c>
      <x:c r="D206" s="14" t="str">
        <x:v>英文</x:v>
      </x:c>
      <x:c r="E206" s="15" t="str">
        <x:v>未处理</x:v>
      </x:c>
      <x:c r="F206" s="15" t="str"/>
      <x:c r="G206" s="16" t="str">
        <x:v>https://doi.org/10.1002/wps.20513</x:v>
      </x:c>
      <x:c r="H206" s="14" t="str">
        <x:v>H06</x:v>
      </x:c>
      <x:c r="I206" s="14" t="str">
        <x:v>Myin-Germeys, I., Kasanova, Z., Vaessen, T., et al.</x:v>
      </x:c>
      <x:c r="J206" s="18" t="n">
        <x:v>2018</x:v>
      </x:c>
      <x:c r="K206" s="14" t="str">
        <x:v>研究文献</x:v>
      </x:c>
      <x:c r="L206" s="14" t="str">
        <x:v>优先</x:v>
      </x:c>
      <x:c r="M206" s="14" t="str">
        <x:v>未取得全文；页面响应不能证明全文权限。</x:v>
      </x:c>
      <x:c r="N206" s="14" t="str">
        <x:v>从 DOI 或出版社页查看全文；也可使用学校图书馆或作者公开版本。</x:v>
      </x:c>
      <x:c r="O206" s="14" t="str">
        <x:v>当前的设计与技术实践</x:v>
      </x:c>
      <x:c r="P206" s="14" t="str">
        <x:v>10.1002/wps.20513</x:v>
      </x:c>
      <x:c r="Q206" s="14" t="str"/>
      <x:c r="R206" s="17"/>
      <x:c r="S206" s="14" t="str"/>
      <x:c r="T206" s="14" t="str"/>
      <x:c r="U206" s="19" t="n">
        <x:v>46303</x:v>
      </x:c>
    </x:row>
    <x:row r="207" ht="68" customHeight="1">
      <x:c r="A207" s="14" t="str">
        <x:v>D-319B38AF</x:v>
      </x:c>
      <x:c r="B207" s="14" t="str">
        <x:v>需人工获取</x:v>
      </x:c>
      <x:c r="C207" s="14" t="str">
        <x:v>Validity and reliability of the Experience-Sampling Method</x:v>
      </x:c>
      <x:c r="D207" s="14" t="str">
        <x:v>英文</x:v>
      </x:c>
      <x:c r="E207" s="15" t="str">
        <x:v>未处理</x:v>
      </x:c>
      <x:c r="F207" s="15" t="str"/>
      <x:c r="G207" s="16" t="str">
        <x:v>https://doi.org/10.1097/00005053-198709000-00004</x:v>
      </x:c>
      <x:c r="H207" s="14" t="str">
        <x:v>H06</x:v>
      </x:c>
      <x:c r="I207" s="14" t="str">
        <x:v>Csikszentmihalyi, M., &amp; Larson, R.</x:v>
      </x:c>
      <x:c r="J207" s="18" t="n">
        <x:v>1987</x:v>
      </x:c>
      <x:c r="K207" s="14" t="str">
        <x:v>研究文献</x:v>
      </x:c>
      <x:c r="L207" s="14" t="str">
        <x:v>优先</x:v>
      </x:c>
      <x:c r="M207" s="14" t="str">
        <x:v>未取得全文；页面响应不能证明全文权限。</x:v>
      </x:c>
      <x:c r="N207" s="14" t="str">
        <x:v>从 DOI 或出版社页查看全文；也可使用学校图书馆或作者公开版本。</x:v>
      </x:c>
      <x:c r="O207" s="14" t="str">
        <x:v>ESM 的方法学起点</x:v>
      </x:c>
      <x:c r="P207" s="14" t="str">
        <x:v>10.1097/00005053-198709000-00004</x:v>
      </x:c>
      <x:c r="Q207" s="14" t="str"/>
      <x:c r="R207" s="17"/>
      <x:c r="S207" s="14" t="str"/>
      <x:c r="T207" s="14" t="str"/>
      <x:c r="U207" s="19" t="n">
        <x:v>46303</x:v>
      </x:c>
    </x:row>
    <x:row r="208" ht="68" customHeight="1">
      <x:c r="A208" s="14" t="str">
        <x:v>D-3617F102</x:v>
      </x:c>
      <x:c r="B208" s="14" t="str">
        <x:v>需人工获取</x:v>
      </x:c>
      <x:c r="C208" s="14" t="str">
        <x:v>At the frontiers of modeling intensive longitudinal data: Dynamic structural equation models for the affective measurements from the COGITO study</x:v>
      </x:c>
      <x:c r="D208" s="14" t="str">
        <x:v>英文</x:v>
      </x:c>
      <x:c r="E208" s="15" t="str">
        <x:v>未处理</x:v>
      </x:c>
      <x:c r="F208" s="15" t="str"/>
      <x:c r="G208" s="16" t="str">
        <x:v>https://doi.org/10.1080/00273171.2018.1446819</x:v>
      </x:c>
      <x:c r="H208" s="14" t="str">
        <x:v>H07</x:v>
      </x:c>
      <x:c r="I208" s="14" t="str">
        <x:v>Hamaker, E. L., Asparouhov, T., Brose, A., Schmiedek, F., &amp; Muthén, B.</x:v>
      </x:c>
      <x:c r="J208" s="18" t="n">
        <x:v>2018</x:v>
      </x:c>
      <x:c r="K208" s="14" t="str">
        <x:v>研究文献</x:v>
      </x:c>
      <x:c r="L208" s="14" t="str">
        <x:v>优先</x:v>
      </x:c>
      <x:c r="M208" s="14" t="str">
        <x:v>未取得全文；页面响应不能证明全文权限。</x:v>
      </x:c>
      <x:c r="N208" s="14" t="str">
        <x:v>从 DOI 或出版社页查看全文；也可使用学校图书馆或作者公开版本。</x:v>
      </x:c>
      <x:c r="O208" s="14" t="str">
        <x:v>**完整的应用示例与语法**，是学 DSEM 最好的入口</x:v>
      </x:c>
      <x:c r="P208" s="14" t="str">
        <x:v>10.1080/00273171.2018.1446819</x:v>
      </x:c>
      <x:c r="Q208" s="14" t="str"/>
      <x:c r="R208" s="17"/>
      <x:c r="S208" s="14" t="str"/>
      <x:c r="T208" s="14" t="str"/>
      <x:c r="U208" s="19" t="n">
        <x:v>46303</x:v>
      </x:c>
    </x:row>
    <x:row r="209" ht="68" customHeight="1">
      <x:c r="A209" s="14" t="str">
        <x:v>D-6E5BCAE3</x:v>
      </x:c>
      <x:c r="B209" s="14" t="str">
        <x:v>需人工获取</x:v>
      </x:c>
      <x:c r="C209" s="14" t="str">
        <x:v>The Gaussian graphical model in cross-sectional and time-series data</x:v>
      </x:c>
      <x:c r="D209" s="14" t="str">
        <x:v>英文</x:v>
      </x:c>
      <x:c r="E209" s="15" t="str">
        <x:v>未处理</x:v>
      </x:c>
      <x:c r="F209" s="15" t="str"/>
      <x:c r="G209" s="16" t="str">
        <x:v>https://doi.org/10.1080/00273171.2018.1454823</x:v>
      </x:c>
      <x:c r="H209" s="14" t="str">
        <x:v>H07</x:v>
      </x:c>
      <x:c r="I209" s="14" t="str">
        <x:v>Epskamp, S., Waldorp, L. J., Mõttus, R., &amp; Borsboom, D.</x:v>
      </x:c>
      <x:c r="J209" s="18" t="n">
        <x:v>2018</x:v>
      </x:c>
      <x:c r="K209" s="14" t="str">
        <x:v>研究文献</x:v>
      </x:c>
      <x:c r="L209" s="14" t="str">
        <x:v>优先</x:v>
      </x:c>
      <x:c r="M209" s="14" t="str">
        <x:v>未取得全文；页面响应不能证明全文权限。</x:v>
      </x:c>
      <x:c r="N209" s="14" t="str">
        <x:v>从 DOI 或出版社页查看全文；也可使用学校图书馆或作者公开版本。</x:v>
      </x:c>
      <x:c r="O209" s="14" t="str">
        <x:v>mlVAR 的理论：三种网络（个体内滞后/同期/个体间）</x:v>
      </x:c>
      <x:c r="P209" s="14" t="str">
        <x:v>10.1080/00273171.2018.1454823</x:v>
      </x:c>
      <x:c r="Q209" s="14" t="str"/>
      <x:c r="R209" s="17"/>
      <x:c r="S209" s="14" t="str"/>
      <x:c r="T209" s="14" t="str"/>
      <x:c r="U209" s="19" t="n">
        <x:v>46303</x:v>
      </x:c>
    </x:row>
    <x:row r="210" ht="68" customHeight="1">
      <x:c r="A210" s="14" t="str">
        <x:v>D-3A3B15B4</x:v>
      </x:c>
      <x:c r="B210" s="14" t="str">
        <x:v>需人工获取</x:v>
      </x:c>
      <x:c r="C210" s="14" t="str">
        <x:v>An SEM approach to continuous time modeling of panel data: Relating authoritarianism and anomia</x:v>
      </x:c>
      <x:c r="D210" s="14" t="str">
        <x:v>英文</x:v>
      </x:c>
      <x:c r="E210" s="15" t="str">
        <x:v>未处理</x:v>
      </x:c>
      <x:c r="F210" s="15" t="str"/>
      <x:c r="G210" s="16" t="str">
        <x:v>https://doi.org/10.1037/a0027543</x:v>
      </x:c>
      <x:c r="H210" s="14" t="str">
        <x:v>H08</x:v>
      </x:c>
      <x:c r="I210" s="14" t="str">
        <x:v>Voelkle, M. C., Oud, J. H. L., Davidov, E., &amp; Schmidt, P.</x:v>
      </x:c>
      <x:c r="J210" s="18" t="n">
        <x:v>2012</x:v>
      </x:c>
      <x:c r="K210" s="14" t="str">
        <x:v>研究文献</x:v>
      </x:c>
      <x:c r="L210" s="14" t="str">
        <x:v>优先</x:v>
      </x:c>
      <x:c r="M210" s="14" t="str">
        <x:v>未取得全文；页面响应不能证明全文权限。</x:v>
      </x:c>
      <x:c r="N210" s="14" t="str">
        <x:v>从 DOI 或出版社页查看全文；也可使用学校图书馆或作者公开版本。</x:v>
      </x:c>
      <x:c r="O210" s="14" t="str">
        <x:v>**为什么交叉滞后系数依赖测量间隔**，以及连续时间怎么解决</x:v>
      </x:c>
      <x:c r="P210" s="14" t="str">
        <x:v>10.1037/a0027543</x:v>
      </x:c>
      <x:c r="Q210" s="14" t="str"/>
      <x:c r="R210" s="17"/>
      <x:c r="S210" s="14" t="str"/>
      <x:c r="T210" s="14" t="str"/>
      <x:c r="U210" s="19" t="n">
        <x:v>46303</x:v>
      </x:c>
    </x:row>
    <x:row r="211" ht="68" customHeight="1">
      <x:c r="A211" s="14" t="str">
        <x:v>D-7B560521</x:v>
      </x:c>
      <x:c r="B211" s="14" t="str">
        <x:v>需人工获取</x:v>
      </x:c>
      <x:c r="C211" s="14" t="str">
        <x:v>Continuous time state space modeling of panel data by means of SEM</x:v>
      </x:c>
      <x:c r="D211" s="14" t="str">
        <x:v>英文</x:v>
      </x:c>
      <x:c r="E211" s="15" t="str">
        <x:v>未处理</x:v>
      </x:c>
      <x:c r="F211" s="15" t="str"/>
      <x:c r="G211" s="16" t="str">
        <x:v>https://doi.org/10.1007/bf02294374</x:v>
      </x:c>
      <x:c r="H211" s="14" t="str">
        <x:v>H08</x:v>
      </x:c>
      <x:c r="I211" s="14" t="str">
        <x:v>Oud, J. H. L., &amp; Jansen, R. A. R. G.</x:v>
      </x:c>
      <x:c r="J211" s="18" t="n">
        <x:v>2000</x:v>
      </x:c>
      <x:c r="K211" s="14" t="str">
        <x:v>研究文献</x:v>
      </x:c>
      <x:c r="L211" s="14" t="str">
        <x:v>优先</x:v>
      </x:c>
      <x:c r="M211" s="14" t="str">
        <x:v>未取得全文；页面响应不能证明全文权限。</x:v>
      </x:c>
      <x:c r="N211" s="14" t="str">
        <x:v>从 DOI 或出版社页查看全文；也可使用学校图书馆或作者公开版本。</x:v>
      </x:c>
      <x:c r="O211" s="14" t="str">
        <x:v>连续时间 SEM 的原始文献</x:v>
      </x:c>
      <x:c r="P211" s="14" t="str">
        <x:v>10.1007/bf02294374</x:v>
      </x:c>
      <x:c r="Q211" s="14" t="str"/>
      <x:c r="R211" s="17"/>
      <x:c r="S211" s="14" t="str"/>
      <x:c r="T211" s="14" t="str"/>
      <x:c r="U211" s="19" t="n">
        <x:v>46303</x:v>
      </x:c>
    </x:row>
    <x:row r="212" ht="68" customHeight="1">
      <x:c r="A212" s="14" t="str">
        <x:v>D-3C2CC2BA</x:v>
      </x:c>
      <x:c r="B212" s="14" t="str">
        <x:v>需人工获取</x:v>
      </x:c>
      <x:c r="C212" s="14" t="str">
        <x:v>Optimal matching methods for historical sequences</x:v>
      </x:c>
      <x:c r="D212" s="14" t="str">
        <x:v>英文</x:v>
      </x:c>
      <x:c r="E212" s="15" t="str">
        <x:v>未处理</x:v>
      </x:c>
      <x:c r="F212" s="15" t="str"/>
      <x:c r="G212" s="16" t="str">
        <x:v>https://doi.org/10.2307/204500</x:v>
      </x:c>
      <x:c r="H212" s="14" t="str">
        <x:v>H09</x:v>
      </x:c>
      <x:c r="I212" s="14" t="str">
        <x:v>Abbott, A., &amp; Forrest, J.</x:v>
      </x:c>
      <x:c r="J212" s="18" t="n">
        <x:v>1986</x:v>
      </x:c>
      <x:c r="K212" s="14" t="str">
        <x:v>研究文献</x:v>
      </x:c>
      <x:c r="L212" s="14" t="str">
        <x:v>优先</x:v>
      </x:c>
      <x:c r="M212" s="14" t="str">
        <x:v>未取得全文；页面响应不能证明全文权限。</x:v>
      </x:c>
      <x:c r="N212" s="14" t="str">
        <x:v>从 DOI 或出版社页查看全文；也可使用学校图书馆或作者公开版本。</x:v>
      </x:c>
      <x:c r="O212" s="14" t="str">
        <x:v>把最优匹配引入社会科学的那篇</x:v>
      </x:c>
      <x:c r="P212" s="14" t="str">
        <x:v>10.2307/204500</x:v>
      </x:c>
      <x:c r="Q212" s="14" t="str"/>
      <x:c r="R212" s="17"/>
      <x:c r="S212" s="14" t="str"/>
      <x:c r="T212" s="14" t="str"/>
      <x:c r="U212" s="19" t="n">
        <x:v>46303</x:v>
      </x:c>
    </x:row>
    <x:row r="213" ht="68" customHeight="1">
      <x:c r="A213" s="14" t="str">
        <x:v>D-BE15EA50</x:v>
      </x:c>
      <x:c r="B213" s="14" t="str">
        <x:v>需人工获取</x:v>
      </x:c>
      <x:c r="C213" s="14" t="str">
        <x:v>What matters in differences between life trajectories: A comparative review of sequence dissimilarity measures</x:v>
      </x:c>
      <x:c r="D213" s="14" t="str">
        <x:v>英文</x:v>
      </x:c>
      <x:c r="E213" s="15" t="str">
        <x:v>未处理</x:v>
      </x:c>
      <x:c r="F213" s="15" t="str"/>
      <x:c r="G213" s="16" t="str">
        <x:v>https://doi.org/10.1111/rssa.12125</x:v>
      </x:c>
      <x:c r="H213" s="14" t="str">
        <x:v>H09</x:v>
      </x:c>
      <x:c r="I213" s="14" t="str">
        <x:v>Studer, M., &amp; Ritschard, G.</x:v>
      </x:c>
      <x:c r="J213" s="18" t="n">
        <x:v>2016</x:v>
      </x:c>
      <x:c r="K213" s="14" t="str">
        <x:v>研究文献</x:v>
      </x:c>
      <x:c r="L213" s="14" t="str">
        <x:v>优先</x:v>
      </x:c>
      <x:c r="M213" s="14" t="str">
        <x:v>未取得全文；页面响应不能证明全文权限。</x:v>
      </x:c>
      <x:c r="N213" s="14" t="str">
        <x:v>从 DOI 或出版社页查看全文；也可使用学校图书馆或作者公开版本。</x:v>
      </x:c>
      <x:c r="O213" s="14" t="str">
        <x:v>**各种距离度量的系统比较**，帮助选择与做敏感性分析</x:v>
      </x:c>
      <x:c r="P213" s="14" t="str">
        <x:v>10.1111/rssa.12125</x:v>
      </x:c>
      <x:c r="Q213" s="14" t="str"/>
      <x:c r="R213" s="17"/>
      <x:c r="S213" s="14" t="str"/>
      <x:c r="T213" s="14" t="str"/>
      <x:c r="U213" s="19" t="n">
        <x:v>46303</x:v>
      </x:c>
    </x:row>
    <x:row r="214" ht="68" customHeight="1">
      <x:c r="A214" s="14" t="str">
        <x:v>D-9903CF2F</x:v>
      </x:c>
      <x:c r="B214" s="14" t="str">
        <x:v>需人工获取</x:v>
      </x:c>
      <x:c r="C214" s="14" t="str">
        <x:v>Hierarchical grouping to optimize an objective function</x:v>
      </x:c>
      <x:c r="D214" s="14" t="str">
        <x:v>英文</x:v>
      </x:c>
      <x:c r="E214" s="15" t="str">
        <x:v>未处理</x:v>
      </x:c>
      <x:c r="F214" s="15" t="str"/>
      <x:c r="G214" s="16" t="str">
        <x:v>https://doi.org/10.1080/01621459.1963.10500845</x:v>
      </x:c>
      <x:c r="H214" s="14" t="str">
        <x:v>I01；I06；J09；J11；O01</x:v>
      </x:c>
      <x:c r="I214" s="14" t="str">
        <x:v>Ward, J. H.</x:v>
      </x:c>
      <x:c r="J214" s="18" t="n">
        <x:v>1963</x:v>
      </x:c>
      <x:c r="K214" s="14" t="str">
        <x:v>研究文献</x:v>
      </x:c>
      <x:c r="L214" s="14" t="str">
        <x:v>优先</x:v>
      </x:c>
      <x:c r="M214" s="14" t="str">
        <x:v>未取得全文；页面响应不能证明全文权限。</x:v>
      </x:c>
      <x:c r="N214" s="14" t="str">
        <x:v>从 DOI 或出版社页查看全文；也可使用学校图书馆或作者公开版本。</x:v>
      </x:c>
      <x:c r="O214" s="14" t="str">
        <x:v>Ward 法的来源</x:v>
      </x:c>
      <x:c r="P214" s="14" t="str">
        <x:v>10.1080/01621459.1963.10500845</x:v>
      </x:c>
      <x:c r="Q214" s="14" t="str"/>
      <x:c r="R214" s="17"/>
      <x:c r="S214" s="14" t="str"/>
      <x:c r="T214" s="14" t="str"/>
      <x:c r="U214" s="19" t="n">
        <x:v>46303</x:v>
      </x:c>
    </x:row>
    <x:row r="215" ht="68" customHeight="1">
      <x:c r="A215" s="14" t="str">
        <x:v>D-00E27534</x:v>
      </x:c>
      <x:c r="B215" s="14" t="str">
        <x:v>需人工获取</x:v>
      </x:c>
      <x:c r="C215" s="14" t="str">
        <x:v>Dynamic models of segregation</x:v>
      </x:c>
      <x:c r="D215" s="14" t="str">
        <x:v>英文</x:v>
      </x:c>
      <x:c r="E215" s="15" t="str">
        <x:v>未处理</x:v>
      </x:c>
      <x:c r="F215" s="15" t="str"/>
      <x:c r="G215" s="16" t="str">
        <x:v>https://doi.org/10.1080/0022250x.1971.9989794</x:v>
      </x:c>
      <x:c r="H215" s="14" t="str">
        <x:v>I01；J09；J11；O01</x:v>
      </x:c>
      <x:c r="I215" s="14" t="str">
        <x:v>Schelling, T. C.</x:v>
      </x:c>
      <x:c r="J215" s="18" t="n">
        <x:v>1971</x:v>
      </x:c>
      <x:c r="K215" s="14" t="str">
        <x:v>研究文献</x:v>
      </x:c>
      <x:c r="L215" s="14" t="str">
        <x:v>优先</x:v>
      </x:c>
      <x:c r="M215" s="14" t="str">
        <x:v>未取得全文；页面响应不能证明全文权限。</x:v>
      </x:c>
      <x:c r="N215" s="14" t="str">
        <x:v>从 DOI 或出版社页查看全文；也可使用学校图书馆或作者公开版本。</x:v>
      </x:c>
      <x:c r="O215" s="14" t="str">
        <x:v>**ABM 的奠基之作**：温和的个体偏好如何涌现出极端的宏观隔离</x:v>
      </x:c>
      <x:c r="P215" s="14" t="str">
        <x:v>10.1080/0022250x.1971.9989794</x:v>
      </x:c>
      <x:c r="Q215" s="14" t="str"/>
      <x:c r="R215" s="17"/>
      <x:c r="S215" s="14" t="str"/>
      <x:c r="T215" s="14" t="str"/>
      <x:c r="U215" s="19" t="n">
        <x:v>46303</x:v>
      </x:c>
    </x:row>
    <x:row r="216" ht="68" customHeight="1">
      <x:c r="A216" s="14" t="str">
        <x:v>D-9A2C8A1F</x:v>
      </x:c>
      <x:c r="B216" s="14" t="str">
        <x:v>需人工获取</x:v>
      </x:c>
      <x:c r="C216" s="14" t="str">
        <x:v>NOTES ON CONTINUOUS STOCHASTIC PHENOMENA</x:v>
      </x:c>
      <x:c r="D216" s="14" t="str">
        <x:v>英文</x:v>
      </x:c>
      <x:c r="E216" s="15" t="str">
        <x:v>未处理</x:v>
      </x:c>
      <x:c r="F216" s="15" t="str"/>
      <x:c r="G216" s="16" t="str">
        <x:v>https://doi.org/10.1093/biomet/37.1-2.17</x:v>
      </x:c>
      <x:c r="H216" s="14" t="str">
        <x:v>I01；J09；J11；O01</x:v>
      </x:c>
      <x:c r="I216" s="14" t="str">
        <x:v>P. A. P. MORAN</x:v>
      </x:c>
      <x:c r="J216" s="18" t="n">
        <x:v>1950</x:v>
      </x:c>
      <x:c r="K216" s="14" t="str">
        <x:v>研究文献</x:v>
      </x:c>
      <x:c r="L216" s="14" t="str">
        <x:v>优先</x:v>
      </x:c>
      <x:c r="M216" s="14" t="str">
        <x:v>未取得全文；页面响应不能证明全文权限。</x:v>
      </x:c>
      <x:c r="N216" s="14" t="str">
        <x:v>从 DOI 或出版社页查看全文；也可使用学校图书馆或作者公开版本。</x:v>
      </x:c>
      <x:c r="O216" s="14" t="str">
        <x:v>空间自相关的经典发展节点。</x:v>
      </x:c>
      <x:c r="P216" s="14" t="str">
        <x:v>10.1093/biomet/37.1-2.17</x:v>
      </x:c>
      <x:c r="Q216" s="14" t="str"/>
      <x:c r="R216" s="17"/>
      <x:c r="S216" s="14" t="str"/>
      <x:c r="T216" s="14" t="str"/>
      <x:c r="U216" s="19" t="n">
        <x:v>46303</x:v>
      </x:c>
    </x:row>
    <x:row r="217" ht="68" customHeight="1">
      <x:c r="A217" s="14" t="str">
        <x:v>D-649371D0</x:v>
      </x:c>
      <x:c r="B217" s="14" t="str">
        <x:v>需人工获取</x:v>
      </x:c>
      <x:c r="C217" s="14" t="str">
        <x:v>The strength of weak ties</x:v>
      </x:c>
      <x:c r="D217" s="14" t="str">
        <x:v>英文</x:v>
      </x:c>
      <x:c r="E217" s="15" t="str">
        <x:v>未处理</x:v>
      </x:c>
      <x:c r="F217" s="15" t="str"/>
      <x:c r="G217" s="16" t="str">
        <x:v>https://doi.org/10.1086/225469</x:v>
      </x:c>
      <x:c r="H217" s="14" t="str">
        <x:v>I01；J09；J11；O01</x:v>
      </x:c>
      <x:c r="I217" s="14" t="str">
        <x:v>Granovetter, M. S.</x:v>
      </x:c>
      <x:c r="J217" s="18" t="n">
        <x:v>1973</x:v>
      </x:c>
      <x:c r="K217" s="14" t="str">
        <x:v>研究文献</x:v>
      </x:c>
      <x:c r="L217" s="14" t="str">
        <x:v>优先</x:v>
      </x:c>
      <x:c r="M217" s="14" t="str">
        <x:v>未取得全文；页面响应不能证明全文权限。</x:v>
      </x:c>
      <x:c r="N217" s="14" t="str">
        <x:v>从 DOI 或出版社页查看全文；也可使用学校图书馆或作者公开版本。</x:v>
      </x:c>
      <x:c r="O217" s="14" t="str">
        <x:v>社会网络分析最有影响的实质性发现</x:v>
      </x:c>
      <x:c r="P217" s="14" t="str">
        <x:v>10.1086/225469</x:v>
      </x:c>
      <x:c r="Q217" s="14" t="str"/>
      <x:c r="R217" s="17"/>
      <x:c r="S217" s="14" t="str"/>
      <x:c r="T217" s="14" t="str"/>
      <x:c r="U217" s="19" t="n">
        <x:v>46303</x:v>
      </x:c>
    </x:row>
    <x:row r="218" ht="68" customHeight="1">
      <x:c r="A218" s="14" t="str">
        <x:v>D-FE6CB6FD</x:v>
      </x:c>
      <x:c r="B218" s="14" t="str">
        <x:v>需人工获取</x:v>
      </x:c>
      <x:c r="C218" s="14" t="str">
        <x:v>Analysis of a complex of statistical variables into principal components</x:v>
      </x:c>
      <x:c r="D218" s="14" t="str">
        <x:v>英文</x:v>
      </x:c>
      <x:c r="E218" s="15" t="str">
        <x:v>未处理</x:v>
      </x:c>
      <x:c r="F218" s="15" t="str"/>
      <x:c r="G218" s="16" t="str">
        <x:v>https://doi.org/10.1037/h0070888</x:v>
      </x:c>
      <x:c r="H218" s="14" t="str">
        <x:v>I02</x:v>
      </x:c>
      <x:c r="I218" s="14" t="str">
        <x:v>Hotelling, H.</x:v>
      </x:c>
      <x:c r="J218" s="18" t="n">
        <x:v>1933</x:v>
      </x:c>
      <x:c r="K218" s="14" t="str">
        <x:v>研究文献</x:v>
      </x:c>
      <x:c r="L218" s="14" t="str">
        <x:v>优先</x:v>
      </x:c>
      <x:c r="M218" s="14" t="str">
        <x:v>未取得全文；页面响应不能证明全文权限。</x:v>
      </x:c>
      <x:c r="N218" s="14" t="str">
        <x:v>从 DOI 或出版社页查看全文；也可使用学校图书馆或作者公开版本。</x:v>
      </x:c>
      <x:c r="O218" s="14" t="str">
        <x:v>PCA 的现代形式，发表在教育心理学期刊上</x:v>
      </x:c>
      <x:c r="P218" s="14" t="str">
        <x:v>10.1037/h0070888</x:v>
      </x:c>
      <x:c r="Q218" s="14" t="str"/>
      <x:c r="R218" s="17"/>
      <x:c r="S218" s="14" t="str"/>
      <x:c r="T218" s="14" t="str"/>
      <x:c r="U218" s="19" t="n">
        <x:v>46303</x:v>
      </x:c>
    </x:row>
    <x:row r="219" ht="68" customHeight="1">
      <x:c r="A219" s="14" t="str">
        <x:v>D-68576F97</x:v>
      </x:c>
      <x:c r="B219" s="14" t="str">
        <x:v>需人工获取</x:v>
      </x:c>
      <x:c r="C219" s="14" t="str">
        <x:v>Multidimensional scaling by optimizing goodness of fit to a nonmetric hypothesis</x:v>
      </x:c>
      <x:c r="D219" s="14" t="str">
        <x:v>英文</x:v>
      </x:c>
      <x:c r="E219" s="15" t="str">
        <x:v>未处理</x:v>
      </x:c>
      <x:c r="F219" s="15" t="str"/>
      <x:c r="G219" s="16" t="str">
        <x:v>https://doi.org/10.1007/bf02289565</x:v>
      </x:c>
      <x:c r="H219" s="14" t="str">
        <x:v>I03</x:v>
      </x:c>
      <x:c r="I219" s="14" t="str">
        <x:v>Kruskal, J. B.</x:v>
      </x:c>
      <x:c r="J219" s="18" t="n">
        <x:v>1964</x:v>
      </x:c>
      <x:c r="K219" s="14" t="str">
        <x:v>研究文献</x:v>
      </x:c>
      <x:c r="L219" s="14" t="str">
        <x:v>优先</x:v>
      </x:c>
      <x:c r="M219" s="14" t="str">
        <x:v>未取得全文；页面响应不能证明全文权限。</x:v>
      </x:c>
      <x:c r="N219" s="14" t="str">
        <x:v>从 DOI 或出版社页查看全文；也可使用学校图书馆或作者公开版本。</x:v>
      </x:c>
      <x:c r="O219" s="14" t="str">
        <x:v>非度量 MDS 与 stress 指标的来源</x:v>
      </x:c>
      <x:c r="P219" s="14" t="str">
        <x:v>10.1007/bf02289565</x:v>
      </x:c>
      <x:c r="Q219" s="14" t="str"/>
      <x:c r="R219" s="17"/>
      <x:c r="S219" s="14" t="str"/>
      <x:c r="T219" s="14" t="str"/>
      <x:c r="U219" s="19" t="n">
        <x:v>46303</x:v>
      </x:c>
    </x:row>
    <x:row r="220" ht="68" customHeight="1">
      <x:c r="A220" s="14" t="str">
        <x:v>D-9E882E65</x:v>
      </x:c>
      <x:c r="B220" s="14" t="str">
        <x:v>需人工获取</x:v>
      </x:c>
      <x:c r="C220" s="14" t="str">
        <x:v>Doing Q Methodological Research: Theory, Method and Interpretation</x:v>
      </x:c>
      <x:c r="D220" s="14" t="str">
        <x:v>英文</x:v>
      </x:c>
      <x:c r="E220" s="15" t="str">
        <x:v>未处理</x:v>
      </x:c>
      <x:c r="F220" s="15" t="str"/>
      <x:c r="G220" s="16" t="str">
        <x:v>https://doi.org/10.4135/9781446251911</x:v>
      </x:c>
      <x:c r="H220" s="14" t="str">
        <x:v>I05</x:v>
      </x:c>
      <x:c r="I220" s="14" t="str">
        <x:v>Watts, S., &amp; Stenner, P.</x:v>
      </x:c>
      <x:c r="J220" s="18" t="n">
        <x:v>2012</x:v>
      </x:c>
      <x:c r="K220" s="14" t="str">
        <x:v>研究文献</x:v>
      </x:c>
      <x:c r="L220" s="14" t="str">
        <x:v>优先</x:v>
      </x:c>
      <x:c r="M220" s="14" t="str">
        <x:v>未取得全文；页面响应不能证明全文权限。</x:v>
      </x:c>
      <x:c r="N220" s="14" t="str">
        <x:v>从 DOI 或出版社页查看全文；也可使用学校图书馆或作者公开版本。</x:v>
      </x:c>
      <x:c r="O220" s="14" t="str">
        <x:v>**当前最实用的教材**，从 Q 样本构建到因子解释</x:v>
      </x:c>
      <x:c r="P220" s="14" t="str">
        <x:v>10.4135/9781446251911</x:v>
      </x:c>
      <x:c r="Q220" s="14" t="str"/>
      <x:c r="R220" s="17"/>
      <x:c r="S220" s="14" t="str"/>
      <x:c r="T220" s="14" t="str"/>
      <x:c r="U220" s="19" t="n">
        <x:v>46303</x:v>
      </x:c>
    </x:row>
    <x:row r="221" ht="68" customHeight="1">
      <x:c r="A221" s="14" t="str">
        <x:v>D-C922BC6E</x:v>
      </x:c>
      <x:c r="B221" s="14" t="str">
        <x:v>需人工获取</x:v>
      </x:c>
      <x:c r="C221" s="14" t="str">
        <x:v>qmethod: A package to explore human perspectives using Q methodology</x:v>
      </x:c>
      <x:c r="D221" s="14" t="str">
        <x:v>英文</x:v>
      </x:c>
      <x:c r="E221" s="15" t="str">
        <x:v>未处理</x:v>
      </x:c>
      <x:c r="F221" s="15" t="str"/>
      <x:c r="G221" s="16" t="str">
        <x:v>https://doi.org/10.32614/rj-2014-032</x:v>
      </x:c>
      <x:c r="H221" s="14" t="str">
        <x:v>I05</x:v>
      </x:c>
      <x:c r="I221" s="14" t="str">
        <x:v>Zabala, A.</x:v>
      </x:c>
      <x:c r="J221" s="18" t="n">
        <x:v>2014</x:v>
      </x:c>
      <x:c r="K221" s="14" t="str">
        <x:v>研究文献</x:v>
      </x:c>
      <x:c r="L221" s="14" t="str">
        <x:v>优先</x:v>
      </x:c>
      <x:c r="M221" s="14" t="str">
        <x:v>未取得全文；页面响应不能证明全文权限。</x:v>
      </x:c>
      <x:c r="N221" s="14" t="str">
        <x:v>从 DOI 或出版社页查看全文；也可使用学校图书馆或作者公开版本。</x:v>
      </x:c>
      <x:c r="O221" s="14" t="str">
        <x:v>qmethod 包的官方文档</x:v>
      </x:c>
      <x:c r="P221" s="14" t="str">
        <x:v>10.32614/rj-2014-032</x:v>
      </x:c>
      <x:c r="Q221" s="14" t="str"/>
      <x:c r="R221" s="17"/>
      <x:c r="S221" s="14" t="str"/>
      <x:c r="T221" s="14" t="str"/>
      <x:c r="U221" s="19" t="n">
        <x:v>46303</x:v>
      </x:c>
    </x:row>
    <x:row r="222" ht="68" customHeight="1">
      <x:c r="A222" s="14" t="str">
        <x:v>D-C5D7F621</x:v>
      </x:c>
      <x:c r="B222" s="14" t="str">
        <x:v>需人工获取</x:v>
      </x:c>
      <x:c r="C222" s="14" t="str">
        <x:v>Technique of factor analysis</x:v>
      </x:c>
      <x:c r="D222" s="14" t="str">
        <x:v>英文</x:v>
      </x:c>
      <x:c r="E222" s="15" t="str">
        <x:v>未处理</x:v>
      </x:c>
      <x:c r="F222" s="15" t="str"/>
      <x:c r="G222" s="16" t="str">
        <x:v>https://doi.org/10.1038/136297b0</x:v>
      </x:c>
      <x:c r="H222" s="14" t="str">
        <x:v>I05</x:v>
      </x:c>
      <x:c r="I222" s="14" t="str">
        <x:v>Stephenson, W.</x:v>
      </x:c>
      <x:c r="J222" s="18" t="n">
        <x:v>1935</x:v>
      </x:c>
      <x:c r="K222" s="14" t="str">
        <x:v>研究文献</x:v>
      </x:c>
      <x:c r="L222" s="14" t="str">
        <x:v>优先</x:v>
      </x:c>
      <x:c r="M222" s="14" t="str">
        <x:v>未取得全文；页面响应不能证明全文权限。</x:v>
      </x:c>
      <x:c r="N222" s="14" t="str">
        <x:v>从 DOI 或出版社页查看全文；也可使用学校图书馆或作者公开版本。</x:v>
      </x:c>
      <x:c r="O222" s="14" t="str">
        <x:v>Q 方法论的起点，一页纸的通讯</x:v>
      </x:c>
      <x:c r="P222" s="14" t="str">
        <x:v>10.1038/136297b0</x:v>
      </x:c>
      <x:c r="Q222" s="14" t="str"/>
      <x:c r="R222" s="17"/>
      <x:c r="S222" s="14" t="str"/>
      <x:c r="T222" s="14" t="str"/>
      <x:c r="U222" s="19" t="n">
        <x:v>46303</x:v>
      </x:c>
    </x:row>
    <x:row r="223" ht="68" customHeight="1">
      <x:c r="A223" s="14" t="str">
        <x:v>D-FBC316E7</x:v>
      </x:c>
      <x:c r="B223" s="14" t="str">
        <x:v>需人工获取</x:v>
      </x:c>
      <x:c r="C223" s="14" t="str">
        <x:v>Comparing Modularity Scores across Different Social Networks: Pitfalls, Illustrations, and Suggestions</x:v>
      </x:c>
      <x:c r="D223" s="14" t="str">
        <x:v>英文</x:v>
      </x:c>
      <x:c r="E223" s="15" t="str">
        <x:v>未处理</x:v>
      </x:c>
      <x:c r="F223" s="15" t="str"/>
      <x:c r="G223" s="16" t="str">
        <x:v>https://doi.org/10.1177/00811750261454676</x:v>
      </x:c>
      <x:c r="H223" s="14" t="str">
        <x:v>I06；J08；J13；J14；J15</x:v>
      </x:c>
      <x:c r="I223" s="14" t="str">
        <x:v>Ling Zhu; Ji Cao; Runhui Tian; Yujie Li; Xiaoqian Yue; Donghang Qi; Hai Liang</x:v>
      </x:c>
      <x:c r="J223" s="18" t="n">
        <x:v>2026</x:v>
      </x:c>
      <x:c r="K223" s="14" t="str">
        <x:v>研究文献</x:v>
      </x:c>
      <x:c r="L223" s="14" t="str">
        <x:v>优先</x:v>
      </x:c>
      <x:c r="M223" s="14" t="str">
        <x:v>未取得全文；页面响应不能证明全文权限。</x:v>
      </x:c>
      <x:c r="N223" s="14" t="str">
        <x:v>从 DOI 或出版社页查看全文；也可使用学校图书馆或作者公开版本。</x:v>
      </x:c>
      <x:c r="O223" s="14" t="str">
        <x:v>跨网络比较模块度的误区与校准建议；属于比较与评估进展。</x:v>
      </x:c>
      <x:c r="P223" s="14" t="str">
        <x:v>10.1177/00811750261454676</x:v>
      </x:c>
      <x:c r="Q223" s="14" t="str"/>
      <x:c r="R223" s="17"/>
      <x:c r="S223" s="14" t="str"/>
      <x:c r="T223" s="14" t="str"/>
      <x:c r="U223" s="19" t="n">
        <x:v>46303</x:v>
      </x:c>
    </x:row>
    <x:row r="224" ht="68" customHeight="1">
      <x:c r="A224" s="14" t="str">
        <x:v>D-E21E7BAA</x:v>
      </x:c>
      <x:c r="B224" s="14" t="str">
        <x:v>需人工获取</x:v>
      </x:c>
      <x:c r="C224" s="14" t="str">
        <x:v>Forging Better Axes: Evaluating and Improving the Reliability of Semantic Dimensions in Word Embeddings</x:v>
      </x:c>
      <x:c r="D224" s="14" t="str">
        <x:v>英文</x:v>
      </x:c>
      <x:c r="E224" s="15" t="str">
        <x:v>未处理</x:v>
      </x:c>
      <x:c r="F224" s="15" t="str"/>
      <x:c r="G224" s="16" t="str">
        <x:v>https://doi.org/10.1177/00491241261467930</x:v>
      </x:c>
      <x:c r="H224" s="14" t="str">
        <x:v>I06；J08；J13；J14；J15</x:v>
      </x:c>
      <x:c r="I224" s="14" t="str">
        <x:v>Andrei Boutyline; Elle Johnston</x:v>
      </x:c>
      <x:c r="J224" s="18" t="n">
        <x:v>2026</x:v>
      </x:c>
      <x:c r="K224" s="14" t="str">
        <x:v>研究文献</x:v>
      </x:c>
      <x:c r="L224" s="14" t="str">
        <x:v>优先</x:v>
      </x:c>
      <x:c r="M224" s="14" t="str">
        <x:v>未取得全文；页面响应不能证明全文权限。</x:v>
      </x:c>
      <x:c r="N224" s="14" t="str">
        <x:v>从 DOI 或出版社页查看全文；也可使用学校图书馆或作者公开版本。</x:v>
      </x:c>
      <x:c r="O224" s="14" t="str">
        <x:v>检查词嵌入语义轴的可靠性，区分锚点选择与模型层面的稳定性。</x:v>
      </x:c>
      <x:c r="P224" s="14" t="str">
        <x:v>10.1177/00491241261467930</x:v>
      </x:c>
      <x:c r="Q224" s="14" t="str"/>
      <x:c r="R224" s="17"/>
      <x:c r="S224" s="14" t="str"/>
      <x:c r="T224" s="14" t="str"/>
      <x:c r="U224" s="19" t="n">
        <x:v>46303</x:v>
      </x:c>
    </x:row>
    <x:row r="225" ht="68" customHeight="1">
      <x:c r="A225" s="14" t="str">
        <x:v>D-9944C3B4</x:v>
      </x:c>
      <x:c r="B225" s="14" t="str">
        <x:v>需人工获取</x:v>
      </x:c>
      <x:c r="C225" s="14" t="str">
        <x:v>Joint Text-and-Image Clustering for Social Science Research</x:v>
      </x:c>
      <x:c r="D225" s="14" t="str">
        <x:v>英文</x:v>
      </x:c>
      <x:c r="E225" s="15" t="str">
        <x:v>未处理</x:v>
      </x:c>
      <x:c r="F225" s="15" t="str"/>
      <x:c r="G225" s="16" t="str">
        <x:v>https://doi.org/10.1177/00811750251382929</x:v>
      </x:c>
      <x:c r="H225" s="14" t="str">
        <x:v>I06；J08；J13；J14；J15</x:v>
      </x:c>
      <x:c r="I225" s="14" t="str">
        <x:v>Han Zhang; Ryan Leung</x:v>
      </x:c>
      <x:c r="J225" s="18" t="n">
        <x:v>2026</x:v>
      </x:c>
      <x:c r="K225" s="14" t="str">
        <x:v>研究文献</x:v>
      </x:c>
      <x:c r="L225" s="14" t="str">
        <x:v>优先</x:v>
      </x:c>
      <x:c r="M225" s="14" t="str">
        <x:v>未取得全文；页面响应不能证明全文权限。</x:v>
      </x:c>
      <x:c r="N225" s="14" t="str">
        <x:v>从 DOI 或出版社页查看全文；也可使用学校图书馆或作者公开版本。</x:v>
      </x:c>
      <x:c r="O225" s="14" t="str">
        <x:v>比较图文聚类的三种融合策略；2025 首次上线，2026 卷期。</x:v>
      </x:c>
      <x:c r="P225" s="14" t="str">
        <x:v>10.1177/00811750251382929</x:v>
      </x:c>
      <x:c r="Q225" s="14" t="str"/>
      <x:c r="R225" s="17"/>
      <x:c r="S225" s="14" t="str"/>
      <x:c r="T225" s="14" t="str"/>
      <x:c r="U225" s="19" t="n">
        <x:v>46303</x:v>
      </x:c>
    </x:row>
    <x:row r="226" ht="68" customHeight="1">
      <x:c r="A226" s="14" t="str">
        <x:v>D-BA8C3B5A</x:v>
      </x:c>
      <x:c r="B226" s="14" t="str">
        <x:v>需人工获取</x:v>
      </x:c>
      <x:c r="C226" s="14" t="str">
        <x:v>Mapping Social Change: A Unified Framework for Temporal Clustering</x:v>
      </x:c>
      <x:c r="D226" s="14" t="str">
        <x:v>英文</x:v>
      </x:c>
      <x:c r="E226" s="15" t="str">
        <x:v>未处理</x:v>
      </x:c>
      <x:c r="F226" s="15" t="str"/>
      <x:c r="G226" s="16" t="str">
        <x:v>https://doi.org/10.1177/00491241251396789</x:v>
      </x:c>
      <x:c r="H226" s="14" t="str">
        <x:v>I06；J08；J13；J14；J15</x:v>
      </x:c>
      <x:c r="I226" s="14" t="str">
        <x:v>Jiazhou Liang; Jolomi Tosanwumi; Ethan Fosse; Daniel Silver; Scott Sanner</x:v>
      </x:c>
      <x:c r="J226" s="18" t="n">
        <x:v>2026</x:v>
      </x:c>
      <x:c r="K226" s="14" t="str">
        <x:v>研究文献</x:v>
      </x:c>
      <x:c r="L226" s="14" t="str">
        <x:v>优先</x:v>
      </x:c>
      <x:c r="M226" s="14" t="str">
        <x:v>未取得全文；页面响应不能证明全文权限。</x:v>
      </x:c>
      <x:c r="N226" s="14" t="str">
        <x:v>从 DOI 或出版社页查看全文；也可使用学校图书馆或作者公开版本。</x:v>
      </x:c>
      <x:c r="O226" s="14" t="str">
        <x:v>同时容纳类型定义和实体归属随时间变化的聚类框架。</x:v>
      </x:c>
      <x:c r="P226" s="14" t="str">
        <x:v>10.1177/00491241251396789</x:v>
      </x:c>
      <x:c r="Q226" s="14" t="str"/>
      <x:c r="R226" s="17"/>
      <x:c r="S226" s="14" t="str"/>
      <x:c r="T226" s="14" t="str"/>
      <x:c r="U226" s="19" t="n">
        <x:v>46303</x:v>
      </x:c>
    </x:row>
    <x:row r="227" ht="68" customHeight="1">
      <x:c r="A227" s="14" t="str">
        <x:v>D-52C16806</x:v>
      </x:c>
      <x:c r="B227" s="14" t="str">
        <x:v>需人工获取</x:v>
      </x:c>
      <x:c r="C227" s="14" t="str">
        <x:v>Local Indicators of Spatial Association—LISA</x:v>
      </x:c>
      <x:c r="D227" s="14" t="str">
        <x:v>英文</x:v>
      </x:c>
      <x:c r="E227" s="15" t="str">
        <x:v>未处理</x:v>
      </x:c>
      <x:c r="F227" s="15" t="str"/>
      <x:c r="G227" s="16" t="str">
        <x:v>https://doi.org/10.1111/j.1538-4632.1995.tb00338.x</x:v>
      </x:c>
      <x:c r="H227" s="14" t="str">
        <x:v>I07；O01</x:v>
      </x:c>
      <x:c r="I227" s="14" t="str">
        <x:v>Luc Anselin</x:v>
      </x:c>
      <x:c r="J227" s="18" t="n">
        <x:v>1995</x:v>
      </x:c>
      <x:c r="K227" s="14" t="str">
        <x:v>研究文献</x:v>
      </x:c>
      <x:c r="L227" s="14" t="str">
        <x:v>优先</x:v>
      </x:c>
      <x:c r="M227" s="14" t="str">
        <x:v>未取得全文；页面响应不能证明全文权限。</x:v>
      </x:c>
      <x:c r="N227" s="14" t="str">
        <x:v>从 DOI 或出版社页查看全文；也可使用学校图书馆或作者公开版本。</x:v>
      </x:c>
      <x:c r="O227" s="14" t="str">
        <x:v>局部空间关联指标 LISA 的经典原文。</x:v>
      </x:c>
      <x:c r="P227" s="14" t="str">
        <x:v>10.1111/j.1538-4632.1995.tb00338.x</x:v>
      </x:c>
      <x:c r="Q227" s="14" t="str"/>
      <x:c r="R227" s="17"/>
      <x:c r="S227" s="14" t="str"/>
      <x:c r="T227" s="14" t="str"/>
      <x:c r="U227" s="19" t="n">
        <x:v>46303</x:v>
      </x:c>
    </x:row>
    <x:row r="228" ht="68" customHeight="1">
      <x:c r="A228" s="14" t="str">
        <x:v>D-7C48D7CA</x:v>
      </x:c>
      <x:c r="B228" s="14" t="str">
        <x:v>需人工获取</x:v>
      </x:c>
      <x:c r="C228" s="14" t="str">
        <x:v>The Comparative Method</x:v>
      </x:c>
      <x:c r="D228" s="14" t="str">
        <x:v>英文</x:v>
      </x:c>
      <x:c r="E228" s="15" t="str">
        <x:v>未处理</x:v>
      </x:c>
      <x:c r="F228" s="15" t="str"/>
      <x:c r="G228" s="16" t="str">
        <x:v>https://doi.org/10.1525/9780520957350</x:v>
      </x:c>
      <x:c r="H228" s="14" t="str">
        <x:v>I07；O01</x:v>
      </x:c>
      <x:c r="I228" s="14" t="str">
        <x:v>Charles C. Ragin</x:v>
      </x:c>
      <x:c r="J228" s="18" t="n">
        <x:v>2014</x:v>
      </x:c>
      <x:c r="K228" s="14" t="str">
        <x:v>研究文献</x:v>
      </x:c>
      <x:c r="L228" s="14" t="str">
        <x:v>优先</x:v>
      </x:c>
      <x:c r="M228" s="14" t="str">
        <x:v>未取得全文；页面响应不能证明全文权限。</x:v>
      </x:c>
      <x:c r="N228" s="14" t="str">
        <x:v>从 DOI 或出版社页查看全文；也可使用学校图书馆或作者公开版本。</x:v>
      </x:c>
      <x:c r="O228" s="14" t="str">
        <x:v>集合比较传统的经典著作（原作 1987；此 DOI 对应后续版）；QCA 不是估计平均处理效应的统计模型。</x:v>
      </x:c>
      <x:c r="P228" s="14" t="str">
        <x:v>10.1525/9780520957350</x:v>
      </x:c>
      <x:c r="Q228" s="14" t="str"/>
      <x:c r="R228" s="17"/>
      <x:c r="S228" s="14" t="str"/>
      <x:c r="T228" s="14" t="str"/>
      <x:c r="U228" s="19" t="n">
        <x:v>46303</x:v>
      </x:c>
    </x:row>
    <x:row r="229" ht="68" customHeight="1">
      <x:c r="A229" s="14" t="str">
        <x:v>D-D9F85ADC</x:v>
      </x:c>
      <x:c r="B229" s="14" t="str">
        <x:v>需人工获取</x:v>
      </x:c>
      <x:c r="C229" s="14" t="str">
        <x:v>Choosing prediction over explanation in psychology: Lessons from machine learning</x:v>
      </x:c>
      <x:c r="D229" s="14" t="str">
        <x:v>英文</x:v>
      </x:c>
      <x:c r="E229" s="15" t="str">
        <x:v>未处理</x:v>
      </x:c>
      <x:c r="F229" s="15" t="str"/>
      <x:c r="G229" s="16" t="str">
        <x:v>https://doi.org/10.1177/1745691617693393</x:v>
      </x:c>
      <x:c r="H229" s="14" t="str">
        <x:v>J01</x:v>
      </x:c>
      <x:c r="I229" s="14" t="str">
        <x:v>Yarkoni, T., &amp; Westfall, J.</x:v>
      </x:c>
      <x:c r="J229" s="18" t="n">
        <x:v>2017</x:v>
      </x:c>
      <x:c r="K229" s="14" t="str">
        <x:v>研究文献</x:v>
      </x:c>
      <x:c r="L229" s="14" t="str">
        <x:v>优先</x:v>
      </x:c>
      <x:c r="M229" s="14" t="str">
        <x:v>未取得全文；页面响应不能证明全文权限。</x:v>
      </x:c>
      <x:c r="N229" s="14" t="str">
        <x:v>从 DOI 或出版社页查看全文；也可使用学校图书馆或作者公开版本。</x:v>
      </x:c>
      <x:c r="O229" s="14" t="str">
        <x:v>**写给心理学的机器学习引论**：预测与解释是不同目标</x:v>
      </x:c>
      <x:c r="P229" s="14" t="str">
        <x:v>10.1177/1745691617693393</x:v>
      </x:c>
      <x:c r="Q229" s="14" t="str"/>
      <x:c r="R229" s="17"/>
      <x:c r="S229" s="14" t="str"/>
      <x:c r="T229" s="14" t="str"/>
      <x:c r="U229" s="19" t="n">
        <x:v>46303</x:v>
      </x:c>
    </x:row>
    <x:row r="230" ht="68" customHeight="1">
      <x:c r="A230" s="14" t="str">
        <x:v>D-688F1699</x:v>
      </x:c>
      <x:c r="B230" s="14" t="str">
        <x:v>需人工获取</x:v>
      </x:c>
      <x:c r="C230" s="14" t="str">
        <x:v>Random forests</x:v>
      </x:c>
      <x:c r="D230" s="14" t="str">
        <x:v>英文</x:v>
      </x:c>
      <x:c r="E230" s="15" t="str">
        <x:v>未处理</x:v>
      </x:c>
      <x:c r="F230" s="15" t="str"/>
      <x:c r="G230" s="16" t="str">
        <x:v>https://doi.org/10.1023/a:1010933404324</x:v>
      </x:c>
      <x:c r="H230" s="14" t="str">
        <x:v>J01</x:v>
      </x:c>
      <x:c r="I230" s="14" t="str">
        <x:v>Breiman, L.</x:v>
      </x:c>
      <x:c r="J230" s="18" t="n">
        <x:v>2001</x:v>
      </x:c>
      <x:c r="K230" s="14" t="str">
        <x:v>研究文献</x:v>
      </x:c>
      <x:c r="L230" s="14" t="str">
        <x:v>优先</x:v>
      </x:c>
      <x:c r="M230" s="14" t="str">
        <x:v>未取得全文；页面响应不能证明全文权限。</x:v>
      </x:c>
      <x:c r="N230" s="14" t="str">
        <x:v>从 DOI 或出版社页查看全文；也可使用学校图书馆或作者公开版本。</x:v>
      </x:c>
      <x:c r="O230" s="14" t="str">
        <x:v>随机森林的原始文献</x:v>
      </x:c>
      <x:c r="P230" s="14" t="str">
        <x:v>10.1023/a:1010933404324</x:v>
      </x:c>
      <x:c r="Q230" s="14" t="str"/>
      <x:c r="R230" s="17"/>
      <x:c r="S230" s="14" t="str"/>
      <x:c r="T230" s="14" t="str"/>
      <x:c r="U230" s="19" t="n">
        <x:v>46303</x:v>
      </x:c>
    </x:row>
    <x:row r="231" ht="68" customHeight="1">
      <x:c r="A231" s="14" t="str">
        <x:v>D-0C6D1244</x:v>
      </x:c>
      <x:c r="B231" s="14" t="str">
        <x:v>需人工获取</x:v>
      </x:c>
      <x:c r="C231" s="14" t="str">
        <x:v>Cross-validatory choice and assessment of statistical predictions</x:v>
      </x:c>
      <x:c r="D231" s="14" t="str">
        <x:v>英文</x:v>
      </x:c>
      <x:c r="E231" s="15" t="str">
        <x:v>未处理</x:v>
      </x:c>
      <x:c r="F231" s="15" t="str"/>
      <x:c r="G231" s="16" t="str">
        <x:v>https://doi.org/10.1111/j.2517-6161.1974.tb00994.x</x:v>
      </x:c>
      <x:c r="H231" s="14" t="str">
        <x:v>J02</x:v>
      </x:c>
      <x:c r="I231" s="14" t="str">
        <x:v>Stone, M.</x:v>
      </x:c>
      <x:c r="J231" s="18" t="n">
        <x:v>1974</x:v>
      </x:c>
      <x:c r="K231" s="14" t="str">
        <x:v>研究文献</x:v>
      </x:c>
      <x:c r="L231" s="14" t="str">
        <x:v>优先</x:v>
      </x:c>
      <x:c r="M231" s="14" t="str">
        <x:v>未取得全文；页面响应不能证明全文权限。</x:v>
      </x:c>
      <x:c r="N231" s="14" t="str">
        <x:v>从 DOI 或出版社页查看全文；也可使用学校图书馆或作者公开版本。</x:v>
      </x:c>
      <x:c r="O231" s="14" t="str">
        <x:v>交叉验证的原始文献</x:v>
      </x:c>
      <x:c r="P231" s="14" t="str">
        <x:v>10.1111/j.2517-6161.1974.tb00994.x</x:v>
      </x:c>
      <x:c r="Q231" s="14" t="str"/>
      <x:c r="R231" s="17"/>
      <x:c r="S231" s="14" t="str"/>
      <x:c r="T231" s="14" t="str"/>
      <x:c r="U231" s="19" t="n">
        <x:v>46303</x:v>
      </x:c>
    </x:row>
    <x:row r="232" ht="68" customHeight="1">
      <x:c r="A232" s="14" t="str">
        <x:v>D-2C3E6F91</x:v>
      </x:c>
      <x:c r="B232" s="14" t="str">
        <x:v>需人工获取</x:v>
      </x:c>
      <x:c r="C232" s="14" t="str">
        <x:v>Establishment of best practices for evidence for prediction: A review</x:v>
      </x:c>
      <x:c r="D232" s="14" t="str">
        <x:v>英文</x:v>
      </x:c>
      <x:c r="E232" s="15" t="str">
        <x:v>未处理</x:v>
      </x:c>
      <x:c r="F232" s="15" t="str"/>
      <x:c r="G232" s="16" t="str">
        <x:v>https://doi.org/10.1001/jamapsychiatry.2019.3671</x:v>
      </x:c>
      <x:c r="H232" s="14" t="str">
        <x:v>J02</x:v>
      </x:c>
      <x:c r="I232" s="14" t="str">
        <x:v>Poldrack, R. A., Huckins, G., &amp; Varoquaux, G.</x:v>
      </x:c>
      <x:c r="J232" s="18" t="n">
        <x:v>2020</x:v>
      </x:c>
      <x:c r="K232" s="14" t="str">
        <x:v>研究文献</x:v>
      </x:c>
      <x:c r="L232" s="14" t="str">
        <x:v>优先</x:v>
      </x:c>
      <x:c r="M232" s="14" t="str">
        <x:v>未取得全文；页面响应不能证明全文权限。</x:v>
      </x:c>
      <x:c r="N232" s="14" t="str">
        <x:v>从 DOI 或出版社页查看全文；也可使用学校图书馆或作者公开版本。</x:v>
      </x:c>
      <x:c r="O232" s="14" t="str">
        <x:v>心理学预测建模的最佳实践清单</x:v>
      </x:c>
      <x:c r="P232" s="14" t="str">
        <x:v>10.1001/jamapsychiatry.2019.3671</x:v>
      </x:c>
      <x:c r="Q232" s="14" t="str"/>
      <x:c r="R232" s="17"/>
      <x:c r="S232" s="14" t="str"/>
      <x:c r="T232" s="14" t="str"/>
      <x:c r="U232" s="19" t="n">
        <x:v>46303</x:v>
      </x:c>
    </x:row>
    <x:row r="233" ht="68" customHeight="1">
      <x:c r="A233" s="14" t="str">
        <x:v>D-CC62750C</x:v>
      </x:c>
      <x:c r="B233" s="14" t="str">
        <x:v>需人工获取</x:v>
      </x:c>
      <x:c r="C233" s="14" t="str">
        <x:v>Why should I trust you? Explaining the predictions of any classifier</x:v>
      </x:c>
      <x:c r="D233" s="14" t="str">
        <x:v>英文</x:v>
      </x:c>
      <x:c r="E233" s="15" t="str">
        <x:v>未处理</x:v>
      </x:c>
      <x:c r="F233" s="15" t="str"/>
      <x:c r="G233" s="16" t="str">
        <x:v>https://doi.org/10.18653/v1/n16-3020</x:v>
      </x:c>
      <x:c r="H233" s="14" t="str">
        <x:v>J03</x:v>
      </x:c>
      <x:c r="I233" s="14" t="str">
        <x:v>Ribeiro, M. T., Singh, S., &amp; Guestrin, C.</x:v>
      </x:c>
      <x:c r="J233" s="18" t="n">
        <x:v>2016</x:v>
      </x:c>
      <x:c r="K233" s="14" t="str">
        <x:v>研究文献</x:v>
      </x:c>
      <x:c r="L233" s="14" t="str">
        <x:v>优先</x:v>
      </x:c>
      <x:c r="M233" s="14" t="str">
        <x:v>未取得全文；页面响应不能证明全文权限。</x:v>
      </x:c>
      <x:c r="N233" s="14" t="str">
        <x:v>从 DOI 或出版社页查看全文；也可使用学校图书馆或作者公开版本。</x:v>
      </x:c>
      <x:c r="O233" s="14" t="str">
        <x:v>LIME 的原始文献</x:v>
      </x:c>
      <x:c r="P233" s="14" t="str">
        <x:v>10.18653/v1/n16-3020</x:v>
      </x:c>
      <x:c r="Q233" s="14" t="str"/>
      <x:c r="R233" s="17"/>
      <x:c r="S233" s="14" t="str"/>
      <x:c r="T233" s="14" t="str"/>
      <x:c r="U233" s="19" t="n">
        <x:v>46303</x:v>
      </x:c>
    </x:row>
    <x:row r="234" ht="68" customHeight="1">
      <x:c r="A234" s="14" t="str">
        <x:v>D-6D53E22A</x:v>
      </x:c>
      <x:c r="B234" s="14" t="str">
        <x:v>需人工获取</x:v>
      </x:c>
      <x:c r="C234" s="14" t="str">
        <x:v>The psychological meaning of words: LIWC and computerized text analysis methods</x:v>
      </x:c>
      <x:c r="D234" s="14" t="str">
        <x:v>英文</x:v>
      </x:c>
      <x:c r="E234" s="15" t="str">
        <x:v>未处理</x:v>
      </x:c>
      <x:c r="F234" s="15" t="str"/>
      <x:c r="G234" s="16" t="str">
        <x:v>https://doi.org/10.1177/0261927x09351676</x:v>
      </x:c>
      <x:c r="H234" s="14" t="str">
        <x:v>J04</x:v>
      </x:c>
      <x:c r="I234" s="14" t="str">
        <x:v>Tausczik, Y. R., &amp; Pennebaker, J. W.</x:v>
      </x:c>
      <x:c r="J234" s="18" t="n">
        <x:v>2010</x:v>
      </x:c>
      <x:c r="K234" s="14" t="str">
        <x:v>研究文献</x:v>
      </x:c>
      <x:c r="L234" s="14" t="str">
        <x:v>优先</x:v>
      </x:c>
      <x:c r="M234" s="14" t="str">
        <x:v>未取得全文；页面响应不能证明全文权限。</x:v>
      </x:c>
      <x:c r="N234" s="14" t="str">
        <x:v>从 DOI 或出版社页查看全文；也可使用学校图书馆或作者公开版本。</x:v>
      </x:c>
      <x:c r="O234" s="14" t="str">
        <x:v>**词典法在心理学中的应用综述**</x:v>
      </x:c>
      <x:c r="P234" s="14" t="str">
        <x:v>10.1177/0261927x09351676</x:v>
      </x:c>
      <x:c r="Q234" s="14" t="str"/>
      <x:c r="R234" s="17"/>
      <x:c r="S234" s="14" t="str"/>
      <x:c r="T234" s="14" t="str"/>
      <x:c r="U234" s="19" t="n">
        <x:v>46303</x:v>
      </x:c>
    </x:row>
    <x:row r="235" ht="68" customHeight="1">
      <x:c r="A235" s="14" t="str">
        <x:v>D-9A9D0D75</x:v>
      </x:c>
      <x:c r="B235" s="14" t="str">
        <x:v>需人工获取</x:v>
      </x:c>
      <x:c r="C235" s="14" t="str">
        <x:v>4. A Relational Event Framework for Social Action</x:v>
      </x:c>
      <x:c r="D235" s="14" t="str">
        <x:v>英文</x:v>
      </x:c>
      <x:c r="E235" s="15" t="str">
        <x:v>未处理</x:v>
      </x:c>
      <x:c r="F235" s="15" t="str"/>
      <x:c r="G235" s="16" t="str">
        <x:v>https://doi.org/10.1111/j.1467-9531.2008.00203.x</x:v>
      </x:c>
      <x:c r="H235" s="14" t="str">
        <x:v>J04；J12；J16；O02</x:v>
      </x:c>
      <x:c r="I235" s="14" t="str">
        <x:v>Carter T. Butts</x:v>
      </x:c>
      <x:c r="J235" s="18" t="n">
        <x:v>2008</x:v>
      </x:c>
      <x:c r="K235" s="14" t="str">
        <x:v>研究文献</x:v>
      </x:c>
      <x:c r="L235" s="14" t="str">
        <x:v>优先</x:v>
      </x:c>
      <x:c r="M235" s="14" t="str">
        <x:v>未取得全文；页面响应不能证明全文权限。</x:v>
      </x:c>
      <x:c r="N235" s="14" t="str">
        <x:v>从 DOI 或出版社页查看全文；也可使用学校图书馆或作者公开版本。</x:v>
      </x:c>
      <x:c r="O235" s="14" t="str">
        <x:v>关系事件框架的代表性方法原文。</x:v>
      </x:c>
      <x:c r="P235" s="14" t="str">
        <x:v>10.1111/j.1467-9531.2008.00203.x</x:v>
      </x:c>
      <x:c r="Q235" s="14" t="str"/>
      <x:c r="R235" s="17"/>
      <x:c r="S235" s="14" t="str"/>
      <x:c r="T235" s="14" t="str"/>
      <x:c r="U235" s="19" t="n">
        <x:v>46303</x:v>
      </x:c>
    </x:row>
    <x:row r="236" ht="68" customHeight="1">
      <x:c r="A236" s="14" t="str">
        <x:v>D-DA8D04CA</x:v>
      </x:c>
      <x:c r="B236" s="14" t="str">
        <x:v>需人工获取</x:v>
      </x:c>
      <x:c r="C236" s="14" t="str">
        <x:v>Computational social science</x:v>
      </x:c>
      <x:c r="D236" s="14" t="str">
        <x:v>英文</x:v>
      </x:c>
      <x:c r="E236" s="15" t="str">
        <x:v>未处理</x:v>
      </x:c>
      <x:c r="F236" s="15" t="str"/>
      <x:c r="G236" s="16" t="str">
        <x:v>https://doi.org/10.1126/science.1167742</x:v>
      </x:c>
      <x:c r="H236" s="14" t="str">
        <x:v>J04；J12；J16；O02</x:v>
      </x:c>
      <x:c r="I236" s="14" t="str">
        <x:v>Lazer, D., Pentland, A., Adamic, L., et al.</x:v>
      </x:c>
      <x:c r="J236" s="18" t="n">
        <x:v>2009</x:v>
      </x:c>
      <x:c r="K236" s="14" t="str">
        <x:v>研究文献</x:v>
      </x:c>
      <x:c r="L236" s="14" t="str">
        <x:v>优先</x:v>
      </x:c>
      <x:c r="M236" s="14" t="str">
        <x:v>未取得全文；页面响应不能证明全文权限。</x:v>
      </x:c>
      <x:c r="N236" s="14" t="str">
        <x:v>从 DOI 或出版社页查看全文；也可使用学校图书馆或作者公开版本。</x:v>
      </x:c>
      <x:c r="O236" s="14" t="str">
        <x:v>计算社会科学的宣言</x:v>
      </x:c>
      <x:c r="P236" s="14" t="str">
        <x:v>10.1126/science.1167742</x:v>
      </x:c>
      <x:c r="Q236" s="14" t="str"/>
      <x:c r="R236" s="17"/>
      <x:c r="S236" s="14" t="str"/>
      <x:c r="T236" s="14" t="str"/>
      <x:c r="U236" s="19" t="n">
        <x:v>46303</x:v>
      </x:c>
    </x:row>
    <x:row r="237" ht="68" customHeight="1">
      <x:c r="A237" s="14" t="str">
        <x:v>D-0C3F2840</x:v>
      </x:c>
      <x:c r="B237" s="14" t="str">
        <x:v>需人工获取</x:v>
      </x:c>
      <x:c r="C237" s="14" t="str">
        <x:v>Introduction to Spatial Econometrics</x:v>
      </x:c>
      <x:c r="D237" s="14" t="str">
        <x:v>英文</x:v>
      </x:c>
      <x:c r="E237" s="15" t="str">
        <x:v>未处理</x:v>
      </x:c>
      <x:c r="F237" s="15" t="str"/>
      <x:c r="G237" s="16" t="str">
        <x:v>https://doi.org/10.1201/9781420064254</x:v>
      </x:c>
      <x:c r="H237" s="14" t="str">
        <x:v>J04；J12；J16；O02</x:v>
      </x:c>
      <x:c r="I237" s="14" t="str">
        <x:v>James LeSage; Robert Kelley Pace</x:v>
      </x:c>
      <x:c r="J237" s="18" t="n">
        <x:v>2009</x:v>
      </x:c>
      <x:c r="K237" s="14" t="str">
        <x:v>研究文献</x:v>
      </x:c>
      <x:c r="L237" s="14" t="str">
        <x:v>优先</x:v>
      </x:c>
      <x:c r="M237" s="14" t="str">
        <x:v>未取得全文；页面响应不能证明全文权限。</x:v>
      </x:c>
      <x:c r="N237" s="14" t="str">
        <x:v>从 DOI 或出版社页查看全文；也可使用学校图书馆或作者公开版本。</x:v>
      </x:c>
      <x:c r="O237" s="14" t="str">
        <x:v>空间计量模型与直接、间接效应的系统教材。</x:v>
      </x:c>
      <x:c r="P237" s="14" t="str">
        <x:v>10.1201/9781420064254</x:v>
      </x:c>
      <x:c r="Q237" s="14" t="str"/>
      <x:c r="R237" s="17"/>
      <x:c r="S237" s="14" t="str"/>
      <x:c r="T237" s="14" t="str"/>
      <x:c r="U237" s="19" t="n">
        <x:v>46303</x:v>
      </x:c>
    </x:row>
    <x:row r="238" ht="68" customHeight="1">
      <x:c r="A238" s="14" t="str">
        <x:v>D-F40AC696</x:v>
      </x:c>
      <x:c r="B238" s="14" t="str">
        <x:v>需人工获取</x:v>
      </x:c>
      <x:c r="C238" s="14" t="str">
        <x:v>Latent Dirichlet Allocation</x:v>
      </x:c>
      <x:c r="D238" s="14" t="str">
        <x:v>英文</x:v>
      </x:c>
      <x:c r="E238" s="15" t="str">
        <x:v>未处理</x:v>
      </x:c>
      <x:c r="F238" s="15" t="str"/>
      <x:c r="G238" s="16" t="str">
        <x:v>https://www.jmlr.org/papers/v3/blei03a.html</x:v>
      </x:c>
      <x:c r="H238" s="14" t="str">
        <x:v>J05</x:v>
      </x:c>
      <x:c r="I238" s="14" t="str">
        <x:v>Blei, D. M., Ng, A. Y., &amp; Jordan, M. I.</x:v>
      </x:c>
      <x:c r="J238" s="18" t="n">
        <x:v>2003</x:v>
      </x:c>
      <x:c r="K238" s="14" t="str">
        <x:v>研究文献</x:v>
      </x:c>
      <x:c r="L238" s="14" t="str">
        <x:v>优先</x:v>
      </x:c>
      <x:c r="M238" s="14" t="str">
        <x:v>未取得全文；页面响应不能证明全文权限。</x:v>
      </x:c>
      <x:c r="N238" s="14" t="str">
        <x:v>从 DOI 或出版社页查看全文；也可使用学校图书馆或作者公开版本。</x:v>
      </x:c>
      <x:c r="O238" s="14" t="str">
        <x:v>LDA 的原始文献</x:v>
      </x:c>
      <x:c r="P238" s="14" t="str"/>
      <x:c r="Q238" s="14" t="str"/>
      <x:c r="R238" s="17"/>
      <x:c r="S238" s="14" t="str"/>
      <x:c r="T238" s="14" t="str"/>
      <x:c r="U238" s="19" t="n">
        <x:v>46303</x:v>
      </x:c>
    </x:row>
    <x:row r="239" ht="68" customHeight="1">
      <x:c r="A239" s="14" t="str">
        <x:v>D-1474FB6F</x:v>
      </x:c>
      <x:c r="B239" s="14" t="str">
        <x:v>需人工获取</x:v>
      </x:c>
      <x:c r="C239" s="14" t="str">
        <x:v>Semantic projection recovers rich human knowledge of multiple object features from word embeddings</x:v>
      </x:c>
      <x:c r="D239" s="14" t="str">
        <x:v>英文</x:v>
      </x:c>
      <x:c r="E239" s="15" t="str">
        <x:v>未处理</x:v>
      </x:c>
      <x:c r="F239" s="15" t="str"/>
      <x:c r="G239" s="16" t="str">
        <x:v>https://doi.org/10.1038/s41562-022-01316-8</x:v>
      </x:c>
      <x:c r="H239" s="14" t="str">
        <x:v>J06</x:v>
      </x:c>
      <x:c r="I239" s="14" t="str">
        <x:v>Grand, G., Blank, I. A., Pereira, F., &amp; Fedorenko, E.</x:v>
      </x:c>
      <x:c r="J239" s="18" t="n">
        <x:v>2022</x:v>
      </x:c>
      <x:c r="K239" s="14" t="str">
        <x:v>研究文献</x:v>
      </x:c>
      <x:c r="L239" s="14" t="str">
        <x:v>优先</x:v>
      </x:c>
      <x:c r="M239" s="14" t="str">
        <x:v>未取得全文；页面响应不能证明全文权限。</x:v>
      </x:c>
      <x:c r="N239" s="14" t="str">
        <x:v>从 DOI 或出版社页查看全文；也可使用学校图书馆或作者公开版本。</x:v>
      </x:c>
      <x:c r="O239" s="14" t="str">
        <x:v>**语义投影**：与人工评定相关达 .70–.90</x:v>
      </x:c>
      <x:c r="P239" s="14" t="str">
        <x:v>10.1038/s41562-022-01316-8</x:v>
      </x:c>
      <x:c r="Q239" s="14" t="str"/>
      <x:c r="R239" s="17"/>
      <x:c r="S239" s="14" t="str"/>
      <x:c r="T239" s="14" t="str"/>
      <x:c r="U239" s="19" t="n">
        <x:v>46303</x:v>
      </x:c>
    </x:row>
    <x:row r="240" ht="68" customHeight="1">
      <x:c r="A240" s="14" t="str">
        <x:v>D-6A6EC071</x:v>
      </x:c>
      <x:c r="B240" s="14" t="str">
        <x:v>需人工获取</x:v>
      </x:c>
      <x:c r="C240" s="14" t="str">
        <x:v>Semantics derived automatically from language corpora contain human-like biases</x:v>
      </x:c>
      <x:c r="D240" s="14" t="str">
        <x:v>英文</x:v>
      </x:c>
      <x:c r="E240" s="15" t="str">
        <x:v>未处理</x:v>
      </x:c>
      <x:c r="F240" s="15" t="str"/>
      <x:c r="G240" s="16" t="str">
        <x:v>https://doi.org/10.1126/science.aal4230</x:v>
      </x:c>
      <x:c r="H240" s="14" t="str">
        <x:v>J06</x:v>
      </x:c>
      <x:c r="I240" s="14" t="str">
        <x:v>Caliskan, A., Bryson, J. J., &amp; Narayanan, A.</x:v>
      </x:c>
      <x:c r="J240" s="18" t="n">
        <x:v>2017</x:v>
      </x:c>
      <x:c r="K240" s="14" t="str">
        <x:v>研究文献</x:v>
      </x:c>
      <x:c r="L240" s="14" t="str">
        <x:v>优先</x:v>
      </x:c>
      <x:c r="M240" s="14" t="str">
        <x:v>未取得全文；页面响应不能证明全文权限。</x:v>
      </x:c>
      <x:c r="N240" s="14" t="str">
        <x:v>从 DOI 或出版社页查看全文；也可使用学校图书馆或作者公开版本。</x:v>
      </x:c>
      <x:c r="O240" s="14" t="str">
        <x:v>**WEAT 的来源**：把 IAT 搬到词向量空间</x:v>
      </x:c>
      <x:c r="P240" s="14" t="str">
        <x:v>10.1126/science.aal4230</x:v>
      </x:c>
      <x:c r="Q240" s="14" t="str"/>
      <x:c r="R240" s="17"/>
      <x:c r="S240" s="14" t="str"/>
      <x:c r="T240" s="14" t="str"/>
      <x:c r="U240" s="19" t="n">
        <x:v>46303</x:v>
      </x:c>
    </x:row>
    <x:row r="241" ht="68" customHeight="1">
      <x:c r="A241" s="14" t="str">
        <x:v>D-33F207FD</x:v>
      </x:c>
      <x:c r="B241" s="14" t="str">
        <x:v>需人工获取</x:v>
      </x:c>
      <x:c r="C241" s="14" t="str">
        <x:v>A primer for evaluating large language models in social-science research</x:v>
      </x:c>
      <x:c r="D241" s="14" t="str">
        <x:v>英文</x:v>
      </x:c>
      <x:c r="E241" s="15" t="str">
        <x:v>未处理</x:v>
      </x:c>
      <x:c r="F241" s="15" t="str"/>
      <x:c r="G241" s="16" t="str">
        <x:v>https://doi.org/10.31234/osf.io/ag7hy_v2</x:v>
      </x:c>
      <x:c r="H241" s="14" t="str">
        <x:v>J07</x:v>
      </x:c>
      <x:c r="I241" s="14" t="str">
        <x:v>Abdurahman, S., Salkhordeh Ziabari, A., Moore, A. K., Bartels, D. M., &amp; Dehghani, M.</x:v>
      </x:c>
      <x:c r="J241" s="18" t="n">
        <x:v>2025</x:v>
      </x:c>
      <x:c r="K241" s="14" t="str">
        <x:v>研究文献</x:v>
      </x:c>
      <x:c r="L241" s="14" t="str">
        <x:v>优先</x:v>
      </x:c>
      <x:c r="M241" s="14" t="str">
        <x:v>未取得全文；页面响应不能证明全文权限。</x:v>
      </x:c>
      <x:c r="N241" s="14" t="str">
        <x:v>从 DOI 或出版社页查看全文；也可使用学校图书馆或作者公开版本。</x:v>
      </x:c>
      <x:c r="O241" s="14" t="str">
        <x:v>**评估 LLM 用于社科研究的系统指南** 链接为作者公开稿或工作论文，可能与正式发表版在年份、题名或内容上不同；引用时请核对所用版本。</x:v>
      </x:c>
      <x:c r="P241" s="14" t="str">
        <x:v>10.31234/osf.io/ag7hy_v2</x:v>
      </x:c>
      <x:c r="Q241" s="14" t="str"/>
      <x:c r="R241" s="17"/>
      <x:c r="S241" s="14" t="str"/>
      <x:c r="T241" s="14" t="str"/>
      <x:c r="U241" s="19" t="n">
        <x:v>46303</x:v>
      </x:c>
    </x:row>
    <x:row r="242" ht="68" customHeight="1">
      <x:c r="A242" s="14" t="str">
        <x:v>D-E54ABF37</x:v>
      </x:c>
      <x:c r="B242" s="14" t="str">
        <x:v>需人工获取</x:v>
      </x:c>
      <x:c r="C242" s="14" t="str">
        <x:v>ChatGPT outperforms crowd workers for text-annotation tasks</x:v>
      </x:c>
      <x:c r="D242" s="14" t="str">
        <x:v>英文</x:v>
      </x:c>
      <x:c r="E242" s="15" t="str">
        <x:v>未处理</x:v>
      </x:c>
      <x:c r="F242" s="15" t="str"/>
      <x:c r="G242" s="16" t="str">
        <x:v>https://doi.org/10.1073/pnas.2305016120</x:v>
      </x:c>
      <x:c r="H242" s="14" t="str">
        <x:v>J07</x:v>
      </x:c>
      <x:c r="I242" s="14" t="str">
        <x:v>Gilardi, F., Alizadeh, M., &amp; Kubli, M.</x:v>
      </x:c>
      <x:c r="J242" s="18" t="n">
        <x:v>2023</x:v>
      </x:c>
      <x:c r="K242" s="14" t="str">
        <x:v>研究文献</x:v>
      </x:c>
      <x:c r="L242" s="14" t="str">
        <x:v>优先</x:v>
      </x:c>
      <x:c r="M242" s="14" t="str">
        <x:v>未取得全文；页面响应不能证明全文权限。</x:v>
      </x:c>
      <x:c r="N242" s="14" t="str">
        <x:v>从 DOI 或出版社页查看全文；也可使用学校图书馆或作者公开版本。</x:v>
      </x:c>
      <x:c r="O242" s="14" t="str">
        <x:v>引发这一波应用的那篇，但结论需与后续批评对读</x:v>
      </x:c>
      <x:c r="P242" s="14" t="str">
        <x:v>10.1073/pnas.2305016120</x:v>
      </x:c>
      <x:c r="Q242" s="14" t="str"/>
      <x:c r="R242" s="17"/>
      <x:c r="S242" s="14" t="str"/>
      <x:c r="T242" s="14" t="str"/>
      <x:c r="U242" s="19" t="n">
        <x:v>46303</x:v>
      </x:c>
    </x:row>
    <x:row r="243" ht="68" customHeight="1">
      <x:c r="A243" s="14" t="str">
        <x:v>D-91267776</x:v>
      </x:c>
      <x:c r="B243" s="14" t="str">
        <x:v>需人工获取</x:v>
      </x:c>
      <x:c r="C243" s="14" t="str">
        <x:v>Using imperfect surrogates for downstream inference: Design-based supervised learning for social science applications of large language models</x:v>
      </x:c>
      <x:c r="D243" s="14" t="str">
        <x:v>英文</x:v>
      </x:c>
      <x:c r="E243" s="15" t="str">
        <x:v>未处理</x:v>
      </x:c>
      <x:c r="F243" s="15" t="str"/>
      <x:c r="G243" s="16" t="str">
        <x:v>https://doi.org/10.52202/075280-3000</x:v>
      </x:c>
      <x:c r="H243" s="14" t="str">
        <x:v>J07</x:v>
      </x:c>
      <x:c r="I243" s="14" t="str">
        <x:v>Egami, N., Hinck, M., Stewart, B. M., &amp; Wei, H.</x:v>
      </x:c>
      <x:c r="J243" s="18" t="n">
        <x:v>2023</x:v>
      </x:c>
      <x:c r="K243" s="14" t="str">
        <x:v>研究文献</x:v>
      </x:c>
      <x:c r="L243" s="14" t="str">
        <x:v>优先</x:v>
      </x:c>
      <x:c r="M243" s="14" t="str">
        <x:v>未取得全文；页面响应不能证明全文权限。</x:v>
      </x:c>
      <x:c r="N243" s="14" t="str">
        <x:v>从 DOI 或出版社页查看全文；也可使用学校图书馆或作者公开版本。</x:v>
      </x:c>
      <x:c r="O243" s="14" t="str">
        <x:v>**DSL 的原始文献**：当前把 LLM 标签接入统计推断的标准做法</x:v>
      </x:c>
      <x:c r="P243" s="14" t="str">
        <x:v>10.52202/075280-3000</x:v>
      </x:c>
      <x:c r="Q243" s="14" t="str"/>
      <x:c r="R243" s="17"/>
      <x:c r="S243" s="14" t="str"/>
      <x:c r="T243" s="14" t="str"/>
      <x:c r="U243" s="19" t="n">
        <x:v>46303</x:v>
      </x:c>
    </x:row>
    <x:row r="244" ht="68" customHeight="1">
      <x:c r="A244" s="14" t="str">
        <x:v>D-507A8371</x:v>
      </x:c>
      <x:c r="B244" s="14" t="str">
        <x:v>需人工获取</x:v>
      </x:c>
      <x:c r="C244" s="14" t="str">
        <x:v>Can AI language models replace human participants?</x:v>
      </x:c>
      <x:c r="D244" s="14" t="str">
        <x:v>英文</x:v>
      </x:c>
      <x:c r="E244" s="15" t="str">
        <x:v>未处理</x:v>
      </x:c>
      <x:c r="F244" s="15" t="str"/>
      <x:c r="G244" s="16" t="str">
        <x:v>https://doi.org/10.1016/j.tics.2023.04.008</x:v>
      </x:c>
      <x:c r="H244" s="14" t="str">
        <x:v>J08</x:v>
      </x:c>
      <x:c r="I244" s="14" t="str">
        <x:v>Dillion, D., Tandon, N., Gu, Y., &amp; Gray, K.</x:v>
      </x:c>
      <x:c r="J244" s="18" t="n">
        <x:v>2023</x:v>
      </x:c>
      <x:c r="K244" s="14" t="str">
        <x:v>研究文献</x:v>
      </x:c>
      <x:c r="L244" s="14" t="str">
        <x:v>优先</x:v>
      </x:c>
      <x:c r="M244" s="14" t="str">
        <x:v>未取得全文；页面响应不能证明全文权限。</x:v>
      </x:c>
      <x:c r="N244" s="14" t="str">
        <x:v>从 DOI 或出版社页查看全文；也可使用学校图书馆或作者公开版本。</x:v>
      </x:c>
      <x:c r="O244" s="14" t="str">
        <x:v>正反两面的简短综述，适合快速了解争议全貌</x:v>
      </x:c>
      <x:c r="P244" s="14" t="str">
        <x:v>10.1016/j.tics.2023.04.008</x:v>
      </x:c>
      <x:c r="Q244" s="14" t="str"/>
      <x:c r="R244" s="17"/>
      <x:c r="S244" s="14" t="str"/>
      <x:c r="T244" s="14" t="str"/>
      <x:c r="U244" s="19" t="n">
        <x:v>46303</x:v>
      </x:c>
    </x:row>
    <x:row r="245" ht="68" customHeight="1">
      <x:c r="A245" s="14" t="str">
        <x:v>D-9567EADB</x:v>
      </x:c>
      <x:c r="B245" s="14" t="str">
        <x:v>需人工获取</x:v>
      </x:c>
      <x:c r="C245" s="14" t="str">
        <x:v>Out of one, many: Using language models to simulate human samples</x:v>
      </x:c>
      <x:c r="D245" s="14" t="str">
        <x:v>英文</x:v>
      </x:c>
      <x:c r="E245" s="15" t="str">
        <x:v>未处理</x:v>
      </x:c>
      <x:c r="F245" s="15" t="str"/>
      <x:c r="G245" s="16" t="str">
        <x:v>https://doi.org/10.1017/pan.2023.2</x:v>
      </x:c>
      <x:c r="H245" s="14" t="str">
        <x:v>J08</x:v>
      </x:c>
      <x:c r="I245" s="14" t="str">
        <x:v>Argyle, L. P., Busby, E. C., Fulda, N., et al.</x:v>
      </x:c>
      <x:c r="J245" s="18" t="n">
        <x:v>2023</x:v>
      </x:c>
      <x:c r="K245" s="14" t="str">
        <x:v>研究文献</x:v>
      </x:c>
      <x:c r="L245" s="14" t="str">
        <x:v>优先</x:v>
      </x:c>
      <x:c r="M245" s="14" t="str">
        <x:v>未取得全文；页面响应不能证明全文权限。</x:v>
      </x:c>
      <x:c r="N245" s="14" t="str">
        <x:v>从 DOI 或出版社页查看全文；也可使用学校图书馆或作者公开版本。</x:v>
      </x:c>
      <x:c r="O245" s="14" t="str">
        <x:v>「硅基样本」概念的来源</x:v>
      </x:c>
      <x:c r="P245" s="14" t="str">
        <x:v>10.1017/pan.2023.2</x:v>
      </x:c>
      <x:c r="Q245" s="14" t="str"/>
      <x:c r="R245" s="17"/>
      <x:c r="S245" s="14" t="str"/>
      <x:c r="T245" s="14" t="str"/>
      <x:c r="U245" s="19" t="n">
        <x:v>46303</x:v>
      </x:c>
    </x:row>
    <x:row r="246" ht="68" customHeight="1">
      <x:c r="A246" s="14" t="str">
        <x:v>D-CE6D5682</x:v>
      </x:c>
      <x:c r="B246" s="14" t="str">
        <x:v>需人工获取</x:v>
      </x:c>
      <x:c r="C246" s="14" t="str">
        <x:v>Centrality in social networks: Conceptual clarification</x:v>
      </x:c>
      <x:c r="D246" s="14" t="str">
        <x:v>英文</x:v>
      </x:c>
      <x:c r="E246" s="15" t="str">
        <x:v>未处理</x:v>
      </x:c>
      <x:c r="F246" s="15" t="str"/>
      <x:c r="G246" s="16" t="str">
        <x:v>https://doi.org/10.1016/0378-8733(78)90021-7</x:v>
      </x:c>
      <x:c r="H246" s="14" t="str">
        <x:v>J09</x:v>
      </x:c>
      <x:c r="I246" s="14" t="str">
        <x:v>Freeman, L. C.</x:v>
      </x:c>
      <x:c r="J246" s="18" t="n">
        <x:v>1979</x:v>
      </x:c>
      <x:c r="K246" s="14" t="str">
        <x:v>研究文献</x:v>
      </x:c>
      <x:c r="L246" s="14" t="str">
        <x:v>优先</x:v>
      </x:c>
      <x:c r="M246" s="14" t="str">
        <x:v>未取得全文；页面响应不能证明全文权限。</x:v>
      </x:c>
      <x:c r="N246" s="14" t="str">
        <x:v>从 DOI 或出版社页查看全文；也可使用学校图书馆或作者公开版本。</x:v>
      </x:c>
      <x:c r="O246" s="14" t="str">
        <x:v>三种基本中心性的定义</x:v>
      </x:c>
      <x:c r="P246" s="14" t="str">
        <x:v>10.1016/0378-8733(78)90021-7</x:v>
      </x:c>
      <x:c r="Q246" s="14" t="str"/>
      <x:c r="R246" s="17"/>
      <x:c r="S246" s="14" t="str"/>
      <x:c r="T246" s="14" t="str"/>
      <x:c r="U246" s="19" t="n">
        <x:v>46303</x:v>
      </x:c>
    </x:row>
    <x:row r="247" ht="68" customHeight="1">
      <x:c r="A247" s="14" t="str">
        <x:v>D-68A02347</x:v>
      </x:c>
      <x:c r="B247" s="14" t="str">
        <x:v>需人工获取</x:v>
      </x:c>
      <x:c r="C247" s="14" t="str">
        <x:v>New specifications for exponential random graph models</x:v>
      </x:c>
      <x:c r="D247" s="14" t="str">
        <x:v>英文</x:v>
      </x:c>
      <x:c r="E247" s="15" t="str">
        <x:v>未处理</x:v>
      </x:c>
      <x:c r="F247" s="15" t="str"/>
      <x:c r="G247" s="16" t="str">
        <x:v>https://doi.org/10.1111/j.1467-9531.2006.00176.x</x:v>
      </x:c>
      <x:c r="H247" s="14" t="str">
        <x:v>J10</x:v>
      </x:c>
      <x:c r="I247" s="14" t="str">
        <x:v>Snijders, T. A. B., Pattison, P. E., Robins, G. L., &amp; Handcock, M. S.</x:v>
      </x:c>
      <x:c r="J247" s="18" t="n">
        <x:v>2006</x:v>
      </x:c>
      <x:c r="K247" s="14" t="str">
        <x:v>研究文献</x:v>
      </x:c>
      <x:c r="L247" s="14" t="str">
        <x:v>优先</x:v>
      </x:c>
      <x:c r="M247" s="14" t="str">
        <x:v>未取得全文；页面响应不能证明全文权限。</x:v>
      </x:c>
      <x:c r="N247" s="14" t="str">
        <x:v>从 DOI 或出版社页查看全文；也可使用学校图书馆或作者公开版本。</x:v>
      </x:c>
      <x:c r="O247" s="14" t="str">
        <x:v>**几何加权项的来源**，解决了 ERGM 的退化性问题</x:v>
      </x:c>
      <x:c r="P247" s="14" t="str">
        <x:v>10.1111/j.1467-9531.2006.00176.x</x:v>
      </x:c>
      <x:c r="Q247" s="14" t="str"/>
      <x:c r="R247" s="17"/>
      <x:c r="S247" s="14" t="str"/>
      <x:c r="T247" s="14" t="str"/>
      <x:c r="U247" s="19" t="n">
        <x:v>46303</x:v>
      </x:c>
    </x:row>
    <x:row r="248" ht="68" customHeight="1">
      <x:c r="A248" s="14" t="str">
        <x:v>D-E3D215F0</x:v>
      </x:c>
      <x:c r="B248" s="14" t="str">
        <x:v>需人工获取</x:v>
      </x:c>
      <x:c r="C248" s="14" t="str">
        <x:v>The statistical evaluation of social network dynamics</x:v>
      </x:c>
      <x:c r="D248" s="14" t="str">
        <x:v>英文</x:v>
      </x:c>
      <x:c r="E248" s="15" t="str">
        <x:v>未处理</x:v>
      </x:c>
      <x:c r="F248" s="15" t="str"/>
      <x:c r="G248" s="16" t="str">
        <x:v>https://doi.org/10.1111/0081-1750.00099</x:v>
      </x:c>
      <x:c r="H248" s="14" t="str">
        <x:v>J10</x:v>
      </x:c>
      <x:c r="I248" s="14" t="str">
        <x:v>Snijders, T. A. B.</x:v>
      </x:c>
      <x:c r="J248" s="18" t="n">
        <x:v>2001</x:v>
      </x:c>
      <x:c r="K248" s="14" t="str">
        <x:v>研究文献</x:v>
      </x:c>
      <x:c r="L248" s="14" t="str">
        <x:v>优先</x:v>
      </x:c>
      <x:c r="M248" s="14" t="str">
        <x:v>未取得全文；页面响应不能证明全文权限。</x:v>
      </x:c>
      <x:c r="N248" s="14" t="str">
        <x:v>从 DOI 或出版社页查看全文；也可使用学校图书馆或作者公开版本。</x:v>
      </x:c>
      <x:c r="O248" s="14" t="str">
        <x:v>SAOM 的原始文献</x:v>
      </x:c>
      <x:c r="P248" s="14" t="str">
        <x:v>10.1111/0081-1750.00099</x:v>
      </x:c>
      <x:c r="Q248" s="14" t="str"/>
      <x:c r="R248" s="17"/>
      <x:c r="S248" s="14" t="str"/>
      <x:c r="T248" s="14" t="str"/>
      <x:c r="U248" s="19" t="n">
        <x:v>46303</x:v>
      </x:c>
    </x:row>
    <x:row r="249" ht="68" customHeight="1">
      <x:c r="A249" s="14" t="str">
        <x:v>D-2864790A</x:v>
      </x:c>
      <x:c r="B249" s="14" t="str">
        <x:v>需人工获取</x:v>
      </x:c>
      <x:c r="C249" s="14" t="str">
        <x:v>Models are stupid, and we need more of them</x:v>
      </x:c>
      <x:c r="D249" s="14" t="str">
        <x:v>英文</x:v>
      </x:c>
      <x:c r="E249" s="15" t="str">
        <x:v>未处理</x:v>
      </x:c>
      <x:c r="F249" s="15" t="str"/>
      <x:c r="G249" s="16" t="str">
        <x:v>https://doi.org/10.4324/9781315173726-14</x:v>
      </x:c>
      <x:c r="H249" s="14" t="str">
        <x:v>J11</x:v>
      </x:c>
      <x:c r="I249" s="14" t="str">
        <x:v>Smaldino, P. E.</x:v>
      </x:c>
      <x:c r="J249" s="18" t="n">
        <x:v>2017</x:v>
      </x:c>
      <x:c r="K249" s="14" t="str">
        <x:v>研究文献</x:v>
      </x:c>
      <x:c r="L249" s="14" t="str">
        <x:v>优先</x:v>
      </x:c>
      <x:c r="M249" s="14" t="str">
        <x:v>未取得全文；页面响应不能证明全文权限。</x:v>
      </x:c>
      <x:c r="N249" s="14" t="str">
        <x:v>从 DOI 或出版社页查看全文；也可使用学校图书馆或作者公开版本。</x:v>
      </x:c>
      <x:c r="O249" s="14" t="str">
        <x:v>**为什么心理学需要形式化模型**，可读性极高</x:v>
      </x:c>
      <x:c r="P249" s="14" t="str">
        <x:v>10.4324/9781315173726-14</x:v>
      </x:c>
      <x:c r="Q249" s="14" t="str"/>
      <x:c r="R249" s="17"/>
      <x:c r="S249" s="14" t="str"/>
      <x:c r="T249" s="14" t="str"/>
      <x:c r="U249" s="19" t="n">
        <x:v>46303</x:v>
      </x:c>
    </x:row>
    <x:row r="250" ht="68" customHeight="1">
      <x:c r="A250" s="14" t="str">
        <x:v>D-44D94300</x:v>
      </x:c>
      <x:c r="B250" s="14" t="str">
        <x:v>需人工获取</x:v>
      </x:c>
      <x:c r="C250" s="14" t="str">
        <x:v>The ODD protocol: A review and first update</x:v>
      </x:c>
      <x:c r="D250" s="14" t="str">
        <x:v>英文</x:v>
      </x:c>
      <x:c r="E250" s="15" t="str">
        <x:v>未处理</x:v>
      </x:c>
      <x:c r="F250" s="15" t="str"/>
      <x:c r="G250" s="16" t="str">
        <x:v>https://doi.org/10.1016/j.ecolmodel.2010.08.019</x:v>
      </x:c>
      <x:c r="H250" s="14" t="str">
        <x:v>J11</x:v>
      </x:c>
      <x:c r="I250" s="14" t="str">
        <x:v>Grimm, V., Berger, U., DeAngelis, D. L., et al.</x:v>
      </x:c>
      <x:c r="J250" s="18" t="n">
        <x:v>2010</x:v>
      </x:c>
      <x:c r="K250" s="14" t="str">
        <x:v>研究文献</x:v>
      </x:c>
      <x:c r="L250" s="14" t="str">
        <x:v>优先</x:v>
      </x:c>
      <x:c r="M250" s="14" t="str">
        <x:v>未取得全文；页面响应不能证明全文权限。</x:v>
      </x:c>
      <x:c r="N250" s="14" t="str">
        <x:v>从 DOI 或出版社页查看全文；也可使用学校图书馆或作者公开版本。</x:v>
      </x:c>
      <x:c r="O250" s="14" t="str">
        <x:v>ABM 的标准描述规范，保证可复现</x:v>
      </x:c>
      <x:c r="P250" s="14" t="str">
        <x:v>10.1016/j.ecolmodel.2010.08.019</x:v>
      </x:c>
      <x:c r="Q250" s="14" t="str"/>
      <x:c r="R250" s="17"/>
      <x:c r="S250" s="14" t="str"/>
      <x:c r="T250" s="14" t="str"/>
      <x:c r="U250" s="19" t="n">
        <x:v>46303</x:v>
      </x:c>
    </x:row>
    <x:row r="251" ht="68" customHeight="1">
      <x:c r="A251" s="14" t="str">
        <x:v>D-EF623C5E</x:v>
      </x:c>
      <x:c r="B251" s="14" t="str">
        <x:v>需人工获取</x:v>
      </x:c>
      <x:c r="C251" s="14" t="str">
        <x:v>Using smartphones to collect behavioral data in psychological science: Opportunities, practical considerations, and challenges</x:v>
      </x:c>
      <x:c r="D251" s="14" t="str">
        <x:v>英文</x:v>
      </x:c>
      <x:c r="E251" s="15" t="str">
        <x:v>未处理</x:v>
      </x:c>
      <x:c r="F251" s="15" t="str"/>
      <x:c r="G251" s="16" t="str">
        <x:v>https://doi.org/10.1177/1745691616650285</x:v>
      </x:c>
      <x:c r="H251" s="14" t="str">
        <x:v>J12</x:v>
      </x:c>
      <x:c r="I251" s="14" t="str">
        <x:v>Harari, G. M., Lane, N. D., Wang, R., et al.</x:v>
      </x:c>
      <x:c r="J251" s="18" t="n">
        <x:v>2016</x:v>
      </x:c>
      <x:c r="K251" s="14" t="str">
        <x:v>研究文献</x:v>
      </x:c>
      <x:c r="L251" s="14" t="str">
        <x:v>优先</x:v>
      </x:c>
      <x:c r="M251" s="14" t="str">
        <x:v>未取得全文；页面响应不能证明全文权限。</x:v>
      </x:c>
      <x:c r="N251" s="14" t="str">
        <x:v>从 DOI 或出版社页查看全文；也可使用学校图书馆或作者公开版本。</x:v>
      </x:c>
      <x:c r="O251" s="14" t="str">
        <x:v>**写给心理学的手机数据采集实践指南**</x:v>
      </x:c>
      <x:c r="P251" s="14" t="str">
        <x:v>10.1177/1745691616650285</x:v>
      </x:c>
      <x:c r="Q251" s="14" t="str"/>
      <x:c r="R251" s="17"/>
      <x:c r="S251" s="14" t="str"/>
      <x:c r="T251" s="14" t="str"/>
      <x:c r="U251" s="19" t="n">
        <x:v>46303</x:v>
      </x:c>
    </x:row>
    <x:row r="252" ht="68" customHeight="1">
      <x:c r="A252" s="14" t="str">
        <x:v>D-69BB8A72</x:v>
      </x:c>
      <x:c r="B252" s="14" t="str">
        <x:v>需人工获取</x:v>
      </x:c>
      <x:c r="C252" s="14" t="str">
        <x:v>Statistical paradises and paradoxes in big data (I): Law of large populations, big data paradox, and the 2016 US presidential election</x:v>
      </x:c>
      <x:c r="D252" s="14" t="str">
        <x:v>英文</x:v>
      </x:c>
      <x:c r="E252" s="15" t="str">
        <x:v>未处理</x:v>
      </x:c>
      <x:c r="F252" s="15" t="str"/>
      <x:c r="G252" s="16" t="str">
        <x:v>https://doi.org/10.1214/18-AOAS1161SF</x:v>
      </x:c>
      <x:c r="H252" s="14" t="str">
        <x:v>J12；N05；N07；O06</x:v>
      </x:c>
      <x:c r="I252" s="14" t="str">
        <x:v>Meng</x:v>
      </x:c>
      <x:c r="J252" s="18" t="n">
        <x:v>2018</x:v>
      </x:c>
      <x:c r="K252" s="14" t="str">
        <x:v>研究文献</x:v>
      </x:c>
      <x:c r="L252" s="14" t="str">
        <x:v>优先</x:v>
      </x:c>
      <x:c r="M252" s="14" t="str">
        <x:v>未取得全文；页面响应不能证明全文权限。</x:v>
      </x:c>
      <x:c r="N252" s="14" t="str">
        <x:v>从 DOI 或出版社页查看全文；也可使用学校图书馆或作者公开版本。</x:v>
      </x:c>
      <x:c r="O252" s="14" t="str">
        <x:v>样本选择与数据质量可以抵消样本量优势。</x:v>
      </x:c>
      <x:c r="P252" s="14" t="str">
        <x:v>10.1214/18-AOAS1161SF</x:v>
      </x:c>
      <x:c r="Q252" s="14" t="str"/>
      <x:c r="R252" s="17"/>
      <x:c r="S252" s="14" t="str"/>
      <x:c r="T252" s="14" t="str"/>
      <x:c r="U252" s="19" t="n">
        <x:v>46303</x:v>
      </x:c>
    </x:row>
    <x:row r="253" ht="68" customHeight="1">
      <x:c r="A253" s="14" t="str">
        <x:v>D-193DE99C</x:v>
      </x:c>
      <x:c r="B253" s="14" t="str">
        <x:v>需人工获取</x:v>
      </x:c>
      <x:c r="C253" s="14" t="str">
        <x:v>Bayesian workflow</x:v>
      </x:c>
      <x:c r="D253" s="14" t="str">
        <x:v>英文</x:v>
      </x:c>
      <x:c r="E253" s="15" t="str">
        <x:v>未处理</x:v>
      </x:c>
      <x:c r="F253" s="15" t="str"/>
      <x:c r="G253" s="16" t="str">
        <x:v>https://arxiv.org/abs/2011.01808</x:v>
      </x:c>
      <x:c r="H253" s="14" t="str">
        <x:v>K01；K02；M14；N02</x:v>
      </x:c>
      <x:c r="I253" s="14" t="str">
        <x:v>Gelman, A., Vehtari, A., Simpson, D., et al.</x:v>
      </x:c>
      <x:c r="J253" s="18" t="n">
        <x:v>2020</x:v>
      </x:c>
      <x:c r="K253" s="14" t="str">
        <x:v>研究文献</x:v>
      </x:c>
      <x:c r="L253" s="14" t="str">
        <x:v>优先</x:v>
      </x:c>
      <x:c r="M253" s="14" t="str">
        <x:v>未取得全文；页面响应不能证明全文权限。</x:v>
      </x:c>
      <x:c r="N253" s="14" t="str">
        <x:v>从 DOI 或出版社页查看全文；也可使用学校图书馆或作者公开版本。</x:v>
      </x:c>
      <x:c r="O253" s="14" t="str">
        <x:v>**从先验预测检验到模型批判的完整工作流**。比任何单点技术都重要</x:v>
      </x:c>
      <x:c r="P253" s="14" t="str"/>
      <x:c r="Q253" s="14" t="str"/>
      <x:c r="R253" s="17"/>
      <x:c r="S253" s="14" t="str"/>
      <x:c r="T253" s="14" t="str"/>
      <x:c r="U253" s="19" t="n">
        <x:v>46303</x:v>
      </x:c>
    </x:row>
    <x:row r="254" ht="68" customHeight="1">
      <x:c r="A254" s="14" t="str">
        <x:v>D-4506E692</x:v>
      </x:c>
      <x:c r="B254" s="14" t="str">
        <x:v>需人工获取</x:v>
      </x:c>
      <x:c r="C254" s="14" t="str">
        <x:v>Maximum likelihood from incomplete data via the EM algorithm</x:v>
      </x:c>
      <x:c r="D254" s="14" t="str">
        <x:v>英文</x:v>
      </x:c>
      <x:c r="E254" s="15" t="str">
        <x:v>未处理</x:v>
      </x:c>
      <x:c r="F254" s="15" t="str"/>
      <x:c r="G254" s="16" t="str">
        <x:v>https://doi.org/10.1111/j.2517-6161.1977.tb01600.x</x:v>
      </x:c>
      <x:c r="H254" s="14" t="str">
        <x:v>K01；K02；M14；N02</x:v>
      </x:c>
      <x:c r="I254" s="14" t="str">
        <x:v>Dempster, A. P., Laird, N. M., &amp; Rubin, D. B.</x:v>
      </x:c>
      <x:c r="J254" s="18" t="n">
        <x:v>1977</x:v>
      </x:c>
      <x:c r="K254" s="14" t="str">
        <x:v>研究文献</x:v>
      </x:c>
      <x:c r="L254" s="14" t="str">
        <x:v>优先</x:v>
      </x:c>
      <x:c r="M254" s="14" t="str">
        <x:v>未取得全文；页面响应不能证明全文权限。</x:v>
      </x:c>
      <x:c r="N254" s="14" t="str">
        <x:v>从 DOI 或出版社页查看全文；也可使用学校图书馆或作者公开版本。</x:v>
      </x:c>
      <x:c r="O254" s="14" t="str">
        <x:v>EM 算法的原始文献。理解潜类别分析、缺失数据处理为什么长那样</x:v>
      </x:c>
      <x:c r="P254" s="14" t="str">
        <x:v>10.1111/j.2517-6161.1977.tb01600.x</x:v>
      </x:c>
      <x:c r="Q254" s="14" t="str"/>
      <x:c r="R254" s="17"/>
      <x:c r="S254" s="14" t="str"/>
      <x:c r="T254" s="14" t="str"/>
      <x:c r="U254" s="19" t="n">
        <x:v>46303</x:v>
      </x:c>
    </x:row>
    <x:row r="255" ht="68" customHeight="1">
      <x:c r="A255" s="14" t="str">
        <x:v>D-BEE45700</x:v>
      </x:c>
      <x:c r="B255" s="14" t="str">
        <x:v>需人工获取</x:v>
      </x:c>
      <x:c r="C255" s="14" t="str">
        <x:v>Indices of effect existence and significance in the Bayesian framework</x:v>
      </x:c>
      <x:c r="D255" s="14" t="str">
        <x:v>英文</x:v>
      </x:c>
      <x:c r="E255" s="15" t="str">
        <x:v>未处理</x:v>
      </x:c>
      <x:c r="F255" s="15" t="str"/>
      <x:c r="G255" s="16" t="str">
        <x:v>https://doi.org/10.31234/osf.io/2zexr</x:v>
      </x:c>
      <x:c r="H255" s="14" t="str">
        <x:v>K03</x:v>
      </x:c>
      <x:c r="I255" s="14" t="str">
        <x:v>Makowski, D., Ben-Shachar, M. S., Chen, S. H. A., &amp; Lüdecke, D.</x:v>
      </x:c>
      <x:c r="J255" s="18" t="n">
        <x:v>2019</x:v>
      </x:c>
      <x:c r="K255" s="14" t="str">
        <x:v>研究文献</x:v>
      </x:c>
      <x:c r="L255" s="14" t="str">
        <x:v>优先</x:v>
      </x:c>
      <x:c r="M255" s="14" t="str">
        <x:v>未取得全文；页面响应不能证明全文权限。</x:v>
      </x:c>
      <x:c r="N255" s="14" t="str">
        <x:v>从 DOI 或出版社页查看全文；也可使用学校图书馆或作者公开版本。</x:v>
      </x:c>
      <x:c r="O255" s="14" t="str">
        <x:v>**pd、ROPE、BF 等各指标的比较**，bayestestR 的理论 链接为作者公开稿或工作论文，可能与正式发表版在年份、题名或内容上不同；引用时请核对所用版本。</x:v>
      </x:c>
      <x:c r="P255" s="14" t="str">
        <x:v>10.31234/osf.io/2zexr</x:v>
      </x:c>
      <x:c r="Q255" s="14" t="str"/>
      <x:c r="R255" s="17"/>
      <x:c r="S255" s="14" t="str"/>
      <x:c r="T255" s="14" t="str"/>
      <x:c r="U255" s="19" t="n">
        <x:v>46303</x:v>
      </x:c>
    </x:row>
    <x:row r="256" ht="68" customHeight="1">
      <x:c r="A256" s="14" t="str">
        <x:v>D-48C25F06</x:v>
      </x:c>
      <x:c r="B256" s="14" t="str">
        <x:v>需人工获取</x:v>
      </x:c>
      <x:c r="C256" s="14" t="str">
        <x:v>Rejecting or accepting parameter values in Bayesian estimation</x:v>
      </x:c>
      <x:c r="D256" s="14" t="str">
        <x:v>英文</x:v>
      </x:c>
      <x:c r="E256" s="15" t="str">
        <x:v>未处理</x:v>
      </x:c>
      <x:c r="F256" s="15" t="str"/>
      <x:c r="G256" s="16" t="str">
        <x:v>https://doi.org/10.31219/osf.io/s5vdy</x:v>
      </x:c>
      <x:c r="H256" s="14" t="str">
        <x:v>K03</x:v>
      </x:c>
      <x:c r="I256" s="14" t="str">
        <x:v>Kruschke, J. K.</x:v>
      </x:c>
      <x:c r="J256" s="18" t="n">
        <x:v>2018</x:v>
      </x:c>
      <x:c r="K256" s="14" t="str">
        <x:v>研究文献</x:v>
      </x:c>
      <x:c r="L256" s="14" t="str">
        <x:v>优先</x:v>
      </x:c>
      <x:c r="M256" s="14" t="str">
        <x:v>未取得全文；页面响应不能证明全文权限。</x:v>
      </x:c>
      <x:c r="N256" s="14" t="str">
        <x:v>从 DOI 或出版社页查看全文；也可使用学校图书馆或作者公开版本。</x:v>
      </x:c>
      <x:c r="O256" s="14" t="str">
        <x:v>**ROPE 决策规则的来源**，写得极清楚 链接为作者公开稿或工作论文，可能与正式发表版在年份、题名或内容上不同；引用时请核对所用版本。</x:v>
      </x:c>
      <x:c r="P256" s="14" t="str">
        <x:v>10.31219/osf.io/s5vdy</x:v>
      </x:c>
      <x:c r="Q256" s="14" t="str"/>
      <x:c r="R256" s="17"/>
      <x:c r="S256" s="14" t="str"/>
      <x:c r="T256" s="14" t="str"/>
      <x:c r="U256" s="19" t="n">
        <x:v>46303</x:v>
      </x:c>
    </x:row>
    <x:row r="257" ht="68" customHeight="1">
      <x:c r="A257" s="14" t="str">
        <x:v>D-1E581A6B</x:v>
      </x:c>
      <x:c r="B257" s="14" t="str">
        <x:v>需人工获取</x:v>
      </x:c>
      <x:c r="C257" s="14" t="str">
        <x:v>Bayes factor design analysis: Planning for compelling evidence</x:v>
      </x:c>
      <x:c r="D257" s="14" t="str">
        <x:v>英文</x:v>
      </x:c>
      <x:c r="E257" s="15" t="str">
        <x:v>未处理</x:v>
      </x:c>
      <x:c r="F257" s="15" t="str"/>
      <x:c r="G257" s="16" t="str">
        <x:v>https://doi.org/10.3758/s13423-017-1230-y</x:v>
      </x:c>
      <x:c r="H257" s="14" t="str">
        <x:v>K04</x:v>
      </x:c>
      <x:c r="I257" s="14" t="str">
        <x:v>Schönbrodt, F. D., &amp; Wagenmakers, E.-J.</x:v>
      </x:c>
      <x:c r="J257" s="18" t="n">
        <x:v>2018</x:v>
      </x:c>
      <x:c r="K257" s="14" t="str">
        <x:v>研究文献</x:v>
      </x:c>
      <x:c r="L257" s="14" t="str">
        <x:v>优先</x:v>
      </x:c>
      <x:c r="M257" s="14" t="str">
        <x:v>未取得全文；页面响应不能证明全文权限。</x:v>
      </x:c>
      <x:c r="N257" s="14" t="str">
        <x:v>从 DOI 或出版社页查看全文；也可使用学校图书馆或作者公开版本。</x:v>
      </x:c>
      <x:c r="O257" s="14" t="str">
        <x:v>**贝叶斯版的样本量规划**：要多大样本才能得到令人信服的证据</x:v>
      </x:c>
      <x:c r="P257" s="14" t="str">
        <x:v>10.3758/s13423-017-1230-y</x:v>
      </x:c>
      <x:c r="Q257" s="14" t="str"/>
      <x:c r="R257" s="17"/>
      <x:c r="S257" s="14" t="str"/>
      <x:c r="T257" s="14" t="str"/>
      <x:c r="U257" s="19" t="n">
        <x:v>46303</x:v>
      </x:c>
    </x:row>
    <x:row r="258" ht="68" customHeight="1">
      <x:c r="A258" s="14" t="str">
        <x:v>D-4A54BB42</x:v>
      </x:c>
      <x:c r="B258" s="14" t="str">
        <x:v>需人工获取</x:v>
      </x:c>
      <x:c r="C258" s="14" t="str">
        <x:v>Bayes factors</x:v>
      </x:c>
      <x:c r="D258" s="14" t="str">
        <x:v>英文</x:v>
      </x:c>
      <x:c r="E258" s="15" t="str">
        <x:v>未处理</x:v>
      </x:c>
      <x:c r="F258" s="15" t="str"/>
      <x:c r="G258" s="16" t="str">
        <x:v>https://doi.org/10.1080/01621459.1995.10476572</x:v>
      </x:c>
      <x:c r="H258" s="14" t="str">
        <x:v>K04</x:v>
      </x:c>
      <x:c r="I258" s="14" t="str">
        <x:v>Kass, R. E., &amp; Raftery, A. E.</x:v>
      </x:c>
      <x:c r="J258" s="18" t="n">
        <x:v>1995</x:v>
      </x:c>
      <x:c r="K258" s="14" t="str">
        <x:v>研究文献</x:v>
      </x:c>
      <x:c r="L258" s="14" t="str">
        <x:v>优先</x:v>
      </x:c>
      <x:c r="M258" s="14" t="str">
        <x:v>未取得全文；页面响应不能证明全文权限。</x:v>
      </x:c>
      <x:c r="N258" s="14" t="str">
        <x:v>从 DOI 或出版社页查看全文；也可使用学校图书馆或作者公开版本。</x:v>
      </x:c>
      <x:c r="O258" s="14" t="str">
        <x:v>现代贝叶斯因子的标准参考</x:v>
      </x:c>
      <x:c r="P258" s="14" t="str">
        <x:v>10.1080/01621459.1995.10476572</x:v>
      </x:c>
      <x:c r="Q258" s="14" t="str"/>
      <x:c r="R258" s="17"/>
      <x:c r="S258" s="14" t="str"/>
      <x:c r="T258" s="14" t="str"/>
      <x:c r="U258" s="19" t="n">
        <x:v>46303</x:v>
      </x:c>
    </x:row>
    <x:row r="259" ht="68" customHeight="1">
      <x:c r="A259" s="14" t="str">
        <x:v>D-D4560022</x:v>
      </x:c>
      <x:c r="B259" s="14" t="str">
        <x:v>需人工获取</x:v>
      </x:c>
      <x:c r="C259" s="14" t="str">
        <x:v>Bayesian inference for psychology, Part I: Theoretical advantages and practical ramifications</x:v>
      </x:c>
      <x:c r="D259" s="14" t="str">
        <x:v>英文</x:v>
      </x:c>
      <x:c r="E259" s="15" t="str">
        <x:v>未处理</x:v>
      </x:c>
      <x:c r="F259" s="15" t="str"/>
      <x:c r="G259" s="16" t="str">
        <x:v>https://doi.org/10.3758/s13423-017-1343-3</x:v>
      </x:c>
      <x:c r="H259" s="14" t="str">
        <x:v>K04</x:v>
      </x:c>
      <x:c r="I259" s="14" t="str">
        <x:v>Wagenmakers, E.-J., Marsman, M., Jamil, T., et al.</x:v>
      </x:c>
      <x:c r="J259" s="18" t="n">
        <x:v>2018</x:v>
      </x:c>
      <x:c r="K259" s="14" t="str">
        <x:v>研究文献</x:v>
      </x:c>
      <x:c r="L259" s="14" t="str">
        <x:v>优先</x:v>
      </x:c>
      <x:c r="M259" s="14" t="str">
        <x:v>未取得全文；页面响应不能证明全文权限。</x:v>
      </x:c>
      <x:c r="N259" s="14" t="str">
        <x:v>从 DOI 或出版社页查看全文；也可使用学校图书馆或作者公开版本。</x:v>
      </x:c>
      <x:c r="O259" s="14" t="str">
        <x:v>**贝叶斯优势的系统论证**，Part II 讲 JASP 实操，两篇一起读</x:v>
      </x:c>
      <x:c r="P259" s="14" t="str">
        <x:v>10.3758/s13423-017-1343-3</x:v>
      </x:c>
      <x:c r="Q259" s="14" t="str"/>
      <x:c r="R259" s="17"/>
      <x:c r="S259" s="14" t="str"/>
      <x:c r="T259" s="14" t="str"/>
      <x:c r="U259" s="19" t="n">
        <x:v>46303</x:v>
      </x:c>
    </x:row>
    <x:row r="260" ht="68" customHeight="1">
      <x:c r="A260" s="14" t="str">
        <x:v>D-DB1E74B9</x:v>
      </x:c>
      <x:c r="B260" s="14" t="str">
        <x:v>需人工获取</x:v>
      </x:c>
      <x:c r="C260" s="14" t="str">
        <x:v>Bayesian t tests for accepting and rejecting the null hypothesis</x:v>
      </x:c>
      <x:c r="D260" s="14" t="str">
        <x:v>英文</x:v>
      </x:c>
      <x:c r="E260" s="15" t="str">
        <x:v>未处理</x:v>
      </x:c>
      <x:c r="F260" s="15" t="str"/>
      <x:c r="G260" s="16" t="str">
        <x:v>https://doi.org/10.3758/pbr.16.2.225</x:v>
      </x:c>
      <x:c r="H260" s="14" t="str">
        <x:v>K04</x:v>
      </x:c>
      <x:c r="I260" s="14" t="str">
        <x:v>Rouder, J. N., Speckman, P. L., Sun, D., Morey, R. D., &amp; Iverson, G.</x:v>
      </x:c>
      <x:c r="J260" s="18" t="n">
        <x:v>2009</x:v>
      </x:c>
      <x:c r="K260" s="14" t="str">
        <x:v>研究文献</x:v>
      </x:c>
      <x:c r="L260" s="14" t="str">
        <x:v>优先</x:v>
      </x:c>
      <x:c r="M260" s="14" t="str">
        <x:v>未取得全文；页面响应不能证明全文权限。</x:v>
      </x:c>
      <x:c r="N260" s="14" t="str">
        <x:v>从 DOI 或出版社页查看全文；也可使用学校图书馆或作者公开版本。</x:v>
      </x:c>
      <x:c r="O260" s="14" t="str">
        <x:v>**把 BF 带进心理学的那一篇**。默认 Cauchy 先验的来源</x:v>
      </x:c>
      <x:c r="P260" s="14" t="str">
        <x:v>10.3758/pbr.16.2.225</x:v>
      </x:c>
      <x:c r="Q260" s="14" t="str"/>
      <x:c r="R260" s="17"/>
      <x:c r="S260" s="14" t="str"/>
      <x:c r="T260" s="14" t="str"/>
      <x:c r="U260" s="19" t="n">
        <x:v>46303</x:v>
      </x:c>
    </x:row>
    <x:row r="261" ht="68" customHeight="1">
      <x:c r="A261" s="14" t="str">
        <x:v>D-A0E69B1B</x:v>
      </x:c>
      <x:c r="B261" s="14" t="str">
        <x:v>需人工获取</x:v>
      </x:c>
      <x:c r="C261" s="14" t="str">
        <x:v>Data Analysis Using Regression and Multilevel/Hierarchical Models</x:v>
      </x:c>
      <x:c r="D261" s="14" t="str">
        <x:v>英文</x:v>
      </x:c>
      <x:c r="E261" s="15" t="str">
        <x:v>未处理</x:v>
      </x:c>
      <x:c r="F261" s="15" t="str"/>
      <x:c r="G261" s="16" t="str">
        <x:v>https://doi.org/10.1017/cbo9780511790942</x:v>
      </x:c>
      <x:c r="H261" s="14" t="str">
        <x:v>K05</x:v>
      </x:c>
      <x:c r="I261" s="14" t="str">
        <x:v>Gelman, A., &amp; Hill, J.</x:v>
      </x:c>
      <x:c r="J261" s="18" t="n">
        <x:v>2007</x:v>
      </x:c>
      <x:c r="K261" s="14" t="str">
        <x:v>研究文献</x:v>
      </x:c>
      <x:c r="L261" s="14" t="str">
        <x:v>优先</x:v>
      </x:c>
      <x:c r="M261" s="14" t="str">
        <x:v>未取得全文；页面响应不能证明全文权限。</x:v>
      </x:c>
      <x:c r="N261" s="14" t="str">
        <x:v>从 DOI 或出版社页查看全文；也可使用学校图书馆或作者公开版本。</x:v>
      </x:c>
      <x:c r="O261" s="14" t="str">
        <x:v>部分池化思想的标准参考</x:v>
      </x:c>
      <x:c r="P261" s="14" t="str">
        <x:v>10.1017/cbo9780511790942</x:v>
      </x:c>
      <x:c r="Q261" s="14" t="str"/>
      <x:c r="R261" s="17"/>
      <x:c r="S261" s="14" t="str"/>
      <x:c r="T261" s="14" t="str"/>
      <x:c r="U261" s="19" t="n">
        <x:v>46303</x:v>
      </x:c>
    </x:row>
    <x:row r="262" ht="68" customHeight="1">
      <x:c r="A262" s="14" t="str">
        <x:v>D-D0985527</x:v>
      </x:c>
      <x:c r="B262" s="14" t="str">
        <x:v>需人工获取</x:v>
      </x:c>
      <x:c r="C262" s="14" t="str">
        <x:v>Data analysis using Stein's estimator and its generalizations</x:v>
      </x:c>
      <x:c r="D262" s="14" t="str">
        <x:v>英文</x:v>
      </x:c>
      <x:c r="E262" s="15" t="str">
        <x:v>未处理</x:v>
      </x:c>
      <x:c r="F262" s="15" t="str"/>
      <x:c r="G262" s="16" t="str">
        <x:v>https://doi.org/10.1080/01621459.1975.10479864</x:v>
      </x:c>
      <x:c r="H262" s="14" t="str">
        <x:v>K05</x:v>
      </x:c>
      <x:c r="I262" s="14" t="str">
        <x:v>Efron, B., &amp; Morris, C.</x:v>
      </x:c>
      <x:c r="J262" s="18" t="n">
        <x:v>1975</x:v>
      </x:c>
      <x:c r="K262" s="14" t="str">
        <x:v>研究文献</x:v>
      </x:c>
      <x:c r="L262" s="14" t="str">
        <x:v>优先</x:v>
      </x:c>
      <x:c r="M262" s="14" t="str">
        <x:v>未取得全文；页面响应不能证明全文权限。</x:v>
      </x:c>
      <x:c r="N262" s="14" t="str">
        <x:v>从 DOI 或出版社页查看全文；也可使用学校图书馆或作者公开版本。</x:v>
      </x:c>
      <x:c r="O262" s="14" t="str">
        <x:v>**收缩估计为什么能提高整体准确性**——Stein 悖论的直观解释</x:v>
      </x:c>
      <x:c r="P262" s="14" t="str">
        <x:v>10.1080/01621459.1975.10479864</x:v>
      </x:c>
      <x:c r="Q262" s="14" t="str"/>
      <x:c r="R262" s="17"/>
      <x:c r="S262" s="14" t="str"/>
      <x:c r="T262" s="14" t="str"/>
      <x:c r="U262" s="19" t="n">
        <x:v>46303</x:v>
      </x:c>
    </x:row>
    <x:row r="263" ht="68" customHeight="1">
      <x:c r="A263" s="14" t="str">
        <x:v>D-8C6D786C</x:v>
      </x:c>
      <x:c r="B263" s="14" t="str">
        <x:v>需人工获取</x:v>
      </x:c>
      <x:c r="C263" s="14" t="str">
        <x:v>Visualization in Bayesian workflow</x:v>
      </x:c>
      <x:c r="D263" s="14" t="str">
        <x:v>英文</x:v>
      </x:c>
      <x:c r="E263" s="15" t="str">
        <x:v>未处理</x:v>
      </x:c>
      <x:c r="F263" s="15" t="str"/>
      <x:c r="G263" s="16" t="str">
        <x:v>https://doi.org/10.1111/rssa.12378</x:v>
      </x:c>
      <x:c r="H263" s="14" t="str">
        <x:v>K06</x:v>
      </x:c>
      <x:c r="I263" s="14" t="str">
        <x:v>Gabry, J., Simpson, D., Vehtari, A., Betancourt, M., &amp; Gelman, A.</x:v>
      </x:c>
      <x:c r="J263" s="18" t="n">
        <x:v>2019</x:v>
      </x:c>
      <x:c r="K263" s="14" t="str">
        <x:v>研究文献</x:v>
      </x:c>
      <x:c r="L263" s="14" t="str">
        <x:v>优先</x:v>
      </x:c>
      <x:c r="M263" s="14" t="str">
        <x:v>未取得全文；页面响应不能证明全文权限。</x:v>
      </x:c>
      <x:c r="N263" s="14" t="str">
        <x:v>从 DOI 或出版社页查看全文；也可使用学校图书馆或作者公开版本。</x:v>
      </x:c>
      <x:c r="O263" s="14" t="str">
        <x:v>**贝叶斯工作流中该画哪些图**，bayesplot 的理论</x:v>
      </x:c>
      <x:c r="P263" s="14" t="str">
        <x:v>10.1111/rssa.12378</x:v>
      </x:c>
      <x:c r="Q263" s="14" t="str"/>
      <x:c r="R263" s="17"/>
      <x:c r="S263" s="14" t="str"/>
      <x:c r="T263" s="14" t="str"/>
      <x:c r="U263" s="19" t="n">
        <x:v>46303</x:v>
      </x:c>
    </x:row>
    <x:row r="264" ht="68" customHeight="1">
      <x:c r="A264" s="14" t="str">
        <x:v>D-DF451D09</x:v>
      </x:c>
      <x:c r="B264" s="14" t="str">
        <x:v>需人工获取</x:v>
      </x:c>
      <x:c r="C264" s="14" t="str">
        <x:v>Meta-analysis in clinical trials</x:v>
      </x:c>
      <x:c r="D264" s="14" t="str">
        <x:v>英文</x:v>
      </x:c>
      <x:c r="E264" s="15" t="str">
        <x:v>未处理</x:v>
      </x:c>
      <x:c r="F264" s="15" t="str"/>
      <x:c r="G264" s="16" t="str">
        <x:v>https://doi.org/10.1016/0197-2456(86)90046-2</x:v>
      </x:c>
      <x:c r="H264" s="14" t="str">
        <x:v>L01</x:v>
      </x:c>
      <x:c r="I264" s="14" t="str">
        <x:v>DerSimonian, R., &amp; Laird, N.</x:v>
      </x:c>
      <x:c r="J264" s="18" t="n">
        <x:v>1986</x:v>
      </x:c>
      <x:c r="K264" s="14" t="str">
        <x:v>研究文献</x:v>
      </x:c>
      <x:c r="L264" s="14" t="str">
        <x:v>优先</x:v>
      </x:c>
      <x:c r="M264" s="14" t="str">
        <x:v>未取得全文；页面响应不能证明全文权限。</x:v>
      </x:c>
      <x:c r="N264" s="14" t="str">
        <x:v>从 DOI 或出版社页查看全文；也可使用学校图书馆或作者公开版本。</x:v>
      </x:c>
      <x:c r="O264" s="14" t="str">
        <x:v>随机效应模型最常用的 τ² 估计法</x:v>
      </x:c>
      <x:c r="P264" s="14" t="str">
        <x:v>10.1016/0197-2456(86)90046-2</x:v>
      </x:c>
      <x:c r="Q264" s="14" t="str"/>
      <x:c r="R264" s="17"/>
      <x:c r="S264" s="14" t="str"/>
      <x:c r="T264" s="14" t="str"/>
      <x:c r="U264" s="19" t="n">
        <x:v>46303</x:v>
      </x:c>
    </x:row>
    <x:row r="265" ht="68" customHeight="1">
      <x:c r="A265" s="14" t="str">
        <x:v>D-68C77A15</x:v>
      </x:c>
      <x:c r="B265" s="14" t="str">
        <x:v>需人工获取</x:v>
      </x:c>
      <x:c r="C265" s="14" t="str">
        <x:v>Plea for routinely presenting prediction intervals in meta-analysis</x:v>
      </x:c>
      <x:c r="D265" s="14" t="str">
        <x:v>英文</x:v>
      </x:c>
      <x:c r="E265" s="15" t="str">
        <x:v>未处理</x:v>
      </x:c>
      <x:c r="F265" s="15" t="str"/>
      <x:c r="G265" s="16" t="str">
        <x:v>https://doi.org/10.1136/bmjopen-2015-010247</x:v>
      </x:c>
      <x:c r="H265" s="14" t="str">
        <x:v>L01</x:v>
      </x:c>
      <x:c r="I265" s="14" t="str">
        <x:v>IntHout, J., Ioannidis, J. P. A., Rovers, M. M., &amp; Goeman, J. J.</x:v>
      </x:c>
      <x:c r="J265" s="18" t="n">
        <x:v>2016</x:v>
      </x:c>
      <x:c r="K265" s="14" t="str">
        <x:v>研究文献</x:v>
      </x:c>
      <x:c r="L265" s="14" t="str">
        <x:v>优先</x:v>
      </x:c>
      <x:c r="M265" s="14" t="str">
        <x:v>未取得全文；页面响应不能证明全文权限。</x:v>
      </x:c>
      <x:c r="N265" s="14" t="str">
        <x:v>从 DOI 或出版社页查看全文；也可使用学校图书馆或作者公开版本。</x:v>
      </x:c>
      <x:c r="O265" s="14" t="str">
        <x:v>**预测区间为什么必须报告**。看完你会改变自己的报告习惯</x:v>
      </x:c>
      <x:c r="P265" s="14" t="str">
        <x:v>10.1136/bmjopen-2015-010247</x:v>
      </x:c>
      <x:c r="Q265" s="14" t="str"/>
      <x:c r="R265" s="17"/>
      <x:c r="S265" s="14" t="str"/>
      <x:c r="T265" s="14" t="str"/>
      <x:c r="U265" s="19" t="n">
        <x:v>46303</x:v>
      </x:c>
    </x:row>
    <x:row r="266" ht="68" customHeight="1">
      <x:c r="A266" s="14" t="str">
        <x:v>D-B10444D6</x:v>
      </x:c>
      <x:c r="B266" s="14" t="str">
        <x:v>需人工获取</x:v>
      </x:c>
      <x:c r="C266" s="14" t="str">
        <x:v>A generalization of sampling without replacement from a finite universe</x:v>
      </x:c>
      <x:c r="D266" s="14" t="str">
        <x:v>英文</x:v>
      </x:c>
      <x:c r="E266" s="15" t="str">
        <x:v>未处理</x:v>
      </x:c>
      <x:c r="F266" s="15" t="str"/>
      <x:c r="G266" s="16" t="str">
        <x:v>https://doi.org/10.1080/01621459.1952.10483446</x:v>
      </x:c>
      <x:c r="H266" s="14" t="str">
        <x:v>L01；N01；N05</x:v>
      </x:c>
      <x:c r="I266" s="14" t="str">
        <x:v>Horvitz, D. G., &amp; Thompson, D. J.</x:v>
      </x:c>
      <x:c r="J266" s="18" t="n">
        <x:v>1952</x:v>
      </x:c>
      <x:c r="K266" s="14" t="str">
        <x:v>研究文献</x:v>
      </x:c>
      <x:c r="L266" s="14" t="str">
        <x:v>优先</x:v>
      </x:c>
      <x:c r="M266" s="14" t="str">
        <x:v>未取得全文；页面响应不能证明全文权限。</x:v>
      </x:c>
      <x:c r="N266" s="14" t="str">
        <x:v>从 DOI 或出版社页查看全文；也可使用学校图书馆或作者公开版本。</x:v>
      </x:c>
      <x:c r="O266" s="14" t="str">
        <x:v>抽样权重的理论基础</x:v>
      </x:c>
      <x:c r="P266" s="14" t="str">
        <x:v>10.1080/01621459.1952.10483446</x:v>
      </x:c>
      <x:c r="Q266" s="14" t="str"/>
      <x:c r="R266" s="17"/>
      <x:c r="S266" s="14" t="str"/>
      <x:c r="T266" s="14" t="str"/>
      <x:c r="U266" s="19" t="n">
        <x:v>46303</x:v>
      </x:c>
    </x:row>
    <x:row r="267" ht="68" customHeight="1">
      <x:c r="A267" s="14" t="str">
        <x:v>D-BB184134</x:v>
      </x:c>
      <x:c r="B267" s="14" t="str">
        <x:v>需人工获取</x:v>
      </x:c>
      <x:c r="C267" s="14" t="str">
        <x:v>Primary, secondary, and meta-analysis of research</x:v>
      </x:c>
      <x:c r="D267" s="14" t="str">
        <x:v>英文</x:v>
      </x:c>
      <x:c r="E267" s="15" t="str">
        <x:v>未处理</x:v>
      </x:c>
      <x:c r="F267" s="15" t="str"/>
      <x:c r="G267" s="16" t="str">
        <x:v>https://doi.org/10.2307/1174772</x:v>
      </x:c>
      <x:c r="H267" s="14" t="str">
        <x:v>L01；N01；N05</x:v>
      </x:c>
      <x:c r="I267" s="14" t="str">
        <x:v>Glass, G. V.</x:v>
      </x:c>
      <x:c r="J267" s="18" t="n">
        <x:v>1976</x:v>
      </x:c>
      <x:c r="K267" s="14" t="str">
        <x:v>研究文献</x:v>
      </x:c>
      <x:c r="L267" s="14" t="str">
        <x:v>优先</x:v>
      </x:c>
      <x:c r="M267" s="14" t="str">
        <x:v>未取得全文；页面响应不能证明全文权限。</x:v>
      </x:c>
      <x:c r="N267" s="14" t="str">
        <x:v>从 DOI 或出版社页查看全文；也可使用学校图书馆或作者公开版本。</x:v>
      </x:c>
      <x:c r="O267" s="14" t="str">
        <x:v>「元分析」这个词的来源</x:v>
      </x:c>
      <x:c r="P267" s="14" t="str">
        <x:v>10.2307/1174772</x:v>
      </x:c>
      <x:c r="Q267" s="14" t="str"/>
      <x:c r="R267" s="17"/>
      <x:c r="S267" s="14" t="str"/>
      <x:c r="T267" s="14" t="str"/>
      <x:c r="U267" s="19" t="n">
        <x:v>46303</x:v>
      </x:c>
    </x:row>
    <x:row r="268" ht="68" customHeight="1">
      <x:c r="A268" s="14" t="str">
        <x:v>D-EF6B9B1E</x:v>
      </x:c>
      <x:c r="B268" s="14" t="str">
        <x:v>需人工获取</x:v>
      </x:c>
      <x:c r="C268" s="14" t="str">
        <x:v>Inference and missing data</x:v>
      </x:c>
      <x:c r="D268" s="14" t="str">
        <x:v>英文</x:v>
      </x:c>
      <x:c r="E268" s="15" t="str">
        <x:v>未处理</x:v>
      </x:c>
      <x:c r="F268" s="15" t="str"/>
      <x:c r="G268" s="16" t="str">
        <x:v>https://doi.org/10.1093/biomet/63.3.581</x:v>
      </x:c>
      <x:c r="H268" s="14" t="str">
        <x:v>L01；N01；N05；N09</x:v>
      </x:c>
      <x:c r="I268" s="14" t="str">
        <x:v>Rubin, D. B.</x:v>
      </x:c>
      <x:c r="J268" s="18" t="n">
        <x:v>1976</x:v>
      </x:c>
      <x:c r="K268" s="14" t="str">
        <x:v>研究文献</x:v>
      </x:c>
      <x:c r="L268" s="14" t="str">
        <x:v>优先</x:v>
      </x:c>
      <x:c r="M268" s="14" t="str">
        <x:v>未取得全文；页面响应不能证明全文权限。</x:v>
      </x:c>
      <x:c r="N268" s="14" t="str">
        <x:v>从 DOI 或出版社页查看全文；也可使用学校图书馆或作者公开版本。</x:v>
      </x:c>
      <x:c r="O268" s="14" t="str">
        <x:v>MCAR/MAR/MNAR 分类的来源</x:v>
      </x:c>
      <x:c r="P268" s="14" t="str">
        <x:v>10.1093/biomet/63.3.581</x:v>
      </x:c>
      <x:c r="Q268" s="14" t="str"/>
      <x:c r="R268" s="17"/>
      <x:c r="S268" s="14" t="str"/>
      <x:c r="T268" s="14" t="str"/>
      <x:c r="U268" s="19" t="n">
        <x:v>46303</x:v>
      </x:c>
    </x:row>
    <x:row r="269" ht="68" customHeight="1">
      <x:c r="A269" s="14" t="str">
        <x:v>D-BB978146</x:v>
      </x:c>
      <x:c r="B269" s="14" t="str">
        <x:v>需人工获取</x:v>
      </x:c>
      <x:c r="C269" s="14" t="str">
        <x:v>Meta-analysis with robust variance estimation: Expanding the range of working models</x:v>
      </x:c>
      <x:c r="D269" s="14" t="str">
        <x:v>英文</x:v>
      </x:c>
      <x:c r="E269" s="15" t="str">
        <x:v>未处理</x:v>
      </x:c>
      <x:c r="F269" s="15" t="str"/>
      <x:c r="G269" s="16" t="str">
        <x:v>https://doi.org/10.31222/osf.io/vyfcj</x:v>
      </x:c>
      <x:c r="H269" s="14" t="str">
        <x:v>L02</x:v>
      </x:c>
      <x:c r="I269" s="14" t="str">
        <x:v>Pustejovsky, J. E., &amp; Tipton, E.</x:v>
      </x:c>
      <x:c r="J269" s="18" t="n">
        <x:v>2022</x:v>
      </x:c>
      <x:c r="K269" s="14" t="str">
        <x:v>研究文献</x:v>
      </x:c>
      <x:c r="L269" s="14" t="str">
        <x:v>优先</x:v>
      </x:c>
      <x:c r="M269" s="14" t="str">
        <x:v>未取得全文；页面响应不能证明全文权限。</x:v>
      </x:c>
      <x:c r="N269" s="14" t="str">
        <x:v>从 DOI 或出版社页查看全文；也可使用学校图书馆或作者公开版本。</x:v>
      </x:c>
      <x:c r="O269" s="14" t="str">
        <x:v>RVE 的当前最佳实践 链接为作者公开稿或工作论文，可能与正式发表版在年份、题名或内容上不同；引用时请核对所用版本。</x:v>
      </x:c>
      <x:c r="P269" s="14" t="str">
        <x:v>10.31222/osf.io/vyfcj</x:v>
      </x:c>
      <x:c r="Q269" s="14" t="str"/>
      <x:c r="R269" s="17"/>
      <x:c r="S269" s="14" t="str"/>
      <x:c r="T269" s="14" t="str"/>
      <x:c r="U269" s="19" t="n">
        <x:v>46303</x:v>
      </x:c>
    </x:row>
    <x:row r="270" ht="68" customHeight="1">
      <x:c r="A270" s="14" t="str">
        <x:v>D-96E743DF</x:v>
      </x:c>
      <x:c r="B270" s="14" t="str">
        <x:v>需人工获取</x:v>
      </x:c>
      <x:c r="C270" s="14" t="str">
        <x:v>Modeling dependent effect sizes with three-level meta-analyses: A structural equation modeling approach</x:v>
      </x:c>
      <x:c r="D270" s="14" t="str">
        <x:v>英文</x:v>
      </x:c>
      <x:c r="E270" s="15" t="str">
        <x:v>未处理</x:v>
      </x:c>
      <x:c r="F270" s="15" t="str"/>
      <x:c r="G270" s="16" t="str">
        <x:v>https://doi.org/10.1037/a0032968</x:v>
      </x:c>
      <x:c r="H270" s="14" t="str">
        <x:v>L02</x:v>
      </x:c>
      <x:c r="I270" s="14" t="str">
        <x:v>Cheung, M. W.-L.</x:v>
      </x:c>
      <x:c r="J270" s="18" t="n">
        <x:v>2014</x:v>
      </x:c>
      <x:c r="K270" s="14" t="str">
        <x:v>研究文献</x:v>
      </x:c>
      <x:c r="L270" s="14" t="str">
        <x:v>优先</x:v>
      </x:c>
      <x:c r="M270" s="14" t="str">
        <x:v>未取得全文；页面响应不能证明全文权限。</x:v>
      </x:c>
      <x:c r="N270" s="14" t="str">
        <x:v>从 DOI 或出版社页查看全文；也可使用学校图书馆或作者公开版本。</x:v>
      </x:c>
      <x:c r="O270" s="14" t="str">
        <x:v>三层元分析的框架</x:v>
      </x:c>
      <x:c r="P270" s="14" t="str">
        <x:v>10.1037/a0032968</x:v>
      </x:c>
      <x:c r="Q270" s="14" t="str"/>
      <x:c r="R270" s="17"/>
      <x:c r="S270" s="14" t="str"/>
      <x:c r="T270" s="14" t="str"/>
      <x:c r="U270" s="19" t="n">
        <x:v>46303</x:v>
      </x:c>
    </x:row>
    <x:row r="271" ht="68" customHeight="1">
      <x:c r="A271" s="14" t="str">
        <x:v>D-53EC99AE</x:v>
      </x:c>
      <x:c r="B271" s="14" t="str">
        <x:v>需人工获取</x:v>
      </x:c>
      <x:c r="C271" s="14" t="str">
        <x:v>Robust variance estimation in meta-regression with dependent effect size estimates</x:v>
      </x:c>
      <x:c r="D271" s="14" t="str">
        <x:v>英文</x:v>
      </x:c>
      <x:c r="E271" s="15" t="str">
        <x:v>未处理</x:v>
      </x:c>
      <x:c r="F271" s="15" t="str"/>
      <x:c r="G271" s="16" t="str">
        <x:v>https://doi.org/10.1002/jrsm.5</x:v>
      </x:c>
      <x:c r="H271" s="14" t="str">
        <x:v>L02</x:v>
      </x:c>
      <x:c r="I271" s="14" t="str">
        <x:v>Hedges, L. V., Tipton, E., &amp; Johnson, M. C.</x:v>
      </x:c>
      <x:c r="J271" s="18" t="n">
        <x:v>2010</x:v>
      </x:c>
      <x:c r="K271" s="14" t="str">
        <x:v>研究文献</x:v>
      </x:c>
      <x:c r="L271" s="14" t="str">
        <x:v>优先</x:v>
      </x:c>
      <x:c r="M271" s="14" t="str">
        <x:v>未取得全文；页面响应不能证明全文权限。</x:v>
      </x:c>
      <x:c r="N271" s="14" t="str">
        <x:v>从 DOI 或出版社页查看全文；也可使用学校图书馆或作者公开版本。</x:v>
      </x:c>
      <x:c r="O271" s="14" t="str">
        <x:v>RVE 的原始文献</x:v>
      </x:c>
      <x:c r="P271" s="14" t="str">
        <x:v>10.1002/jrsm.5</x:v>
      </x:c>
      <x:c r="Q271" s="14" t="str"/>
      <x:c r="R271" s="17"/>
      <x:c r="S271" s="14" t="str"/>
      <x:c r="T271" s="14" t="str"/>
      <x:c r="U271" s="19" t="n">
        <x:v>46303</x:v>
      </x:c>
    </x:row>
    <x:row r="272" ht="68" customHeight="1">
      <x:c r="A272" s="14" t="str">
        <x:v>D-E7FE6DD0</x:v>
      </x:c>
      <x:c r="B272" s="14" t="str">
        <x:v>需人工获取</x:v>
      </x:c>
      <x:c r="C272" s="14" t="str">
        <x:v>Bias in meta-analysis detected by a simple, graphical test</x:v>
      </x:c>
      <x:c r="D272" s="14" t="str">
        <x:v>英文</x:v>
      </x:c>
      <x:c r="E272" s="15" t="str">
        <x:v>未处理</x:v>
      </x:c>
      <x:c r="F272" s="15" t="str"/>
      <x:c r="G272" s="16" t="str">
        <x:v>https://doi.org/10.1136/bmj.315.7109.629</x:v>
      </x:c>
      <x:c r="H272" s="14" t="str">
        <x:v>L03</x:v>
      </x:c>
      <x:c r="I272" s="14" t="str">
        <x:v>Egger, M., Davey Smith, G., Schneider, M., &amp; Minder, C.</x:v>
      </x:c>
      <x:c r="J272" s="18" t="n">
        <x:v>1997</x:v>
      </x:c>
      <x:c r="K272" s="14" t="str">
        <x:v>研究文献</x:v>
      </x:c>
      <x:c r="L272" s="14" t="str">
        <x:v>优先</x:v>
      </x:c>
      <x:c r="M272" s="14" t="str">
        <x:v>未取得全文；页面响应不能证明全文权限。</x:v>
      </x:c>
      <x:c r="N272" s="14" t="str">
        <x:v>从 DOI 或出版社页查看全文；也可使用学校图书馆或作者公开版本。</x:v>
      </x:c>
      <x:c r="O272" s="14" t="str">
        <x:v>Egger 检验的来源</x:v>
      </x:c>
      <x:c r="P272" s="14" t="str">
        <x:v>10.1136/bmj.315.7109.629</x:v>
      </x:c>
      <x:c r="Q272" s="14" t="str"/>
      <x:c r="R272" s="17"/>
      <x:c r="S272" s="14" t="str"/>
      <x:c r="T272" s="14" t="str"/>
      <x:c r="U272" s="19" t="n">
        <x:v>46303</x:v>
      </x:c>
    </x:row>
    <x:row r="273" ht="68" customHeight="1">
      <x:c r="A273" s="14" t="str">
        <x:v>D-3FAA4CE7</x:v>
      </x:c>
      <x:c r="B273" s="14" t="str">
        <x:v>需人工获取</x:v>
      </x:c>
      <x:c r="C273" s="14" t="str">
        <x:v>Meta-regression approximations to reduce publication selection bias</x:v>
      </x:c>
      <x:c r="D273" s="14" t="str">
        <x:v>英文</x:v>
      </x:c>
      <x:c r="E273" s="15" t="str">
        <x:v>未处理</x:v>
      </x:c>
      <x:c r="F273" s="15" t="str"/>
      <x:c r="G273" s="16" t="str">
        <x:v>https://doi.org/10.1002/jrsm.1095</x:v>
      </x:c>
      <x:c r="H273" s="14" t="str">
        <x:v>L03</x:v>
      </x:c>
      <x:c r="I273" s="14" t="str">
        <x:v>Stanley, T. D., &amp; Doucouliagos, H.</x:v>
      </x:c>
      <x:c r="J273" s="18" t="n">
        <x:v>2014</x:v>
      </x:c>
      <x:c r="K273" s="14" t="str">
        <x:v>研究文献</x:v>
      </x:c>
      <x:c r="L273" s="14" t="str">
        <x:v>优先</x:v>
      </x:c>
      <x:c r="M273" s="14" t="str">
        <x:v>未取得全文；页面响应不能证明全文权限。</x:v>
      </x:c>
      <x:c r="N273" s="14" t="str">
        <x:v>从 DOI 或出版社页查看全文；也可使用学校图书馆或作者公开版本。</x:v>
      </x:c>
      <x:c r="O273" s="14" t="str">
        <x:v>PET-PEESE 的来源</x:v>
      </x:c>
      <x:c r="P273" s="14" t="str">
        <x:v>10.1002/jrsm.1095</x:v>
      </x:c>
      <x:c r="Q273" s="14" t="str"/>
      <x:c r="R273" s="17"/>
      <x:c r="S273" s="14" t="str"/>
      <x:c r="T273" s="14" t="str"/>
      <x:c r="U273" s="19" t="n">
        <x:v>46303</x:v>
      </x:c>
    </x:row>
    <x:row r="274" ht="68" customHeight="1">
      <x:c r="A274" s="14" t="str">
        <x:v>D-EF263995</x:v>
      </x:c>
      <x:c r="B274" s="14" t="str">
        <x:v>需人工获取</x:v>
      </x:c>
      <x:c r="C274" s="14" t="str">
        <x:v>Correcting for publication bias in a meta-analysis with the p-uniform* method</x:v>
      </x:c>
      <x:c r="D274" s="14" t="str">
        <x:v>英文</x:v>
      </x:c>
      <x:c r="E274" s="15" t="str">
        <x:v>未处理</x:v>
      </x:c>
      <x:c r="F274" s="15" t="str"/>
      <x:c r="G274" s="16" t="str">
        <x:v>https://doi.org/10.31222/osf.io/zqjr9</x:v>
      </x:c>
      <x:c r="H274" s="14" t="str">
        <x:v>L04</x:v>
      </x:c>
      <x:c r="I274" s="14" t="str">
        <x:v>van Aert, R. C. M., &amp; van Assen, M. A. L. M.</x:v>
      </x:c>
      <x:c r="J274" s="18" t="n">
        <x:v>2018</x:v>
      </x:c>
      <x:c r="K274" s="14" t="str">
        <x:v>研究文献</x:v>
      </x:c>
      <x:c r="L274" s="14" t="str">
        <x:v>优先</x:v>
      </x:c>
      <x:c r="M274" s="14" t="str">
        <x:v>未取得全文；页面响应不能证明全文权限。</x:v>
      </x:c>
      <x:c r="N274" s="14" t="str">
        <x:v>从 DOI 或出版社页查看全文；也可使用学校图书馆或作者公开版本。</x:v>
      </x:c>
      <x:c r="O274" s="14" t="str">
        <x:v>p-uniform*：可同时用显著与不显著结果 链接为作者公开稿或工作论文，可能与正式发表版在年份、题名或内容上不同；引用时请核对所用版本。</x:v>
      </x:c>
      <x:c r="P274" s="14" t="str">
        <x:v>10.31222/osf.io/zqjr9</x:v>
      </x:c>
      <x:c r="Q274" s="14" t="str"/>
      <x:c r="R274" s="17"/>
      <x:c r="S274" s="14" t="str"/>
      <x:c r="T274" s="14" t="str"/>
      <x:c r="U274" s="19" t="n">
        <x:v>46303</x:v>
      </x:c>
    </x:row>
    <x:row r="275" ht="68" customHeight="1">
      <x:c r="A275" s="14" t="str">
        <x:v>D-82E636E0</x:v>
      </x:c>
      <x:c r="B275" s="14" t="str">
        <x:v>需人工获取</x:v>
      </x:c>
      <x:c r="C275" s="14" t="str">
        <x:v>P-curve: A key to the file-drawer</x:v>
      </x:c>
      <x:c r="D275" s="14" t="str">
        <x:v>英文</x:v>
      </x:c>
      <x:c r="E275" s="15" t="str">
        <x:v>未处理</x:v>
      </x:c>
      <x:c r="F275" s="15" t="str"/>
      <x:c r="G275" s="16" t="str">
        <x:v>https://doi.org/10.1037/a0033242</x:v>
      </x:c>
      <x:c r="H275" s="14" t="str">
        <x:v>L04</x:v>
      </x:c>
      <x:c r="I275" s="14" t="str">
        <x:v>Simonsohn, U., Nelson, L. D., &amp; Simmons, J. P.</x:v>
      </x:c>
      <x:c r="J275" s="18" t="n">
        <x:v>2014</x:v>
      </x:c>
      <x:c r="K275" s="14" t="str">
        <x:v>研究文献</x:v>
      </x:c>
      <x:c r="L275" s="14" t="str">
        <x:v>优先</x:v>
      </x:c>
      <x:c r="M275" s="14" t="str">
        <x:v>未取得全文；页面响应不能证明全文权限。</x:v>
      </x:c>
      <x:c r="N275" s="14" t="str">
        <x:v>从 DOI 或出版社页查看全文；也可使用学校图书馆或作者公开版本。</x:v>
      </x:c>
      <x:c r="O275" s="14" t="str">
        <x:v>p-curve 的原始文献</x:v>
      </x:c>
      <x:c r="P275" s="14" t="str">
        <x:v>10.1037/a0033242</x:v>
      </x:c>
      <x:c r="Q275" s="14" t="str"/>
      <x:c r="R275" s="17"/>
      <x:c r="S275" s="14" t="str"/>
      <x:c r="T275" s="14" t="str"/>
      <x:c r="U275" s="19" t="n">
        <x:v>46303</x:v>
      </x:c>
    </x:row>
    <x:row r="276" ht="68" customHeight="1">
      <x:c r="A276" s="14" t="str">
        <x:v>D-E5A705E7</x:v>
      </x:c>
      <x:c r="B276" s="14" t="str">
        <x:v>需人工获取</x:v>
      </x:c>
      <x:c r="C276" s="14" t="str">
        <x:v>Increasing transparency through a multiverse analysis</x:v>
      </x:c>
      <x:c r="D276" s="14" t="str">
        <x:v>英文</x:v>
      </x:c>
      <x:c r="E276" s="15" t="str">
        <x:v>未处理</x:v>
      </x:c>
      <x:c r="F276" s="15" t="str"/>
      <x:c r="G276" s="16" t="str">
        <x:v>https://doi.org/10.1177/1745691616658637</x:v>
      </x:c>
      <x:c r="H276" s="14" t="str">
        <x:v>L05</x:v>
      </x:c>
      <x:c r="I276" s="14" t="str">
        <x:v>Steegen, S., Tuerlinckx, F., Gelman, A., &amp; Vanpaemel, W.</x:v>
      </x:c>
      <x:c r="J276" s="18" t="n">
        <x:v>2016</x:v>
      </x:c>
      <x:c r="K276" s="14" t="str">
        <x:v>研究文献</x:v>
      </x:c>
      <x:c r="L276" s="14" t="str">
        <x:v>优先</x:v>
      </x:c>
      <x:c r="M276" s="14" t="str">
        <x:v>未取得全文；页面响应不能证明全文权限。</x:v>
      </x:c>
      <x:c r="N276" s="14" t="str">
        <x:v>从 DOI 或出版社页查看全文；也可使用学校图书馆或作者公开版本。</x:v>
      </x:c>
      <x:c r="O276" s="14" t="str">
        <x:v>多重宇宙分析的原始文献</x:v>
      </x:c>
      <x:c r="P276" s="14" t="str">
        <x:v>10.1177/1745691616658637</x:v>
      </x:c>
      <x:c r="Q276" s="14" t="str"/>
      <x:c r="R276" s="17"/>
      <x:c r="S276" s="14" t="str"/>
      <x:c r="T276" s="14" t="str"/>
      <x:c r="U276" s="19" t="n">
        <x:v>46303</x:v>
      </x:c>
    </x:row>
    <x:row r="277" ht="68" customHeight="1">
      <x:c r="A277" s="14" t="str">
        <x:v>D-80245FFF</x:v>
      </x:c>
      <x:c r="B277" s="14" t="str">
        <x:v>需人工获取</x:v>
      </x:c>
      <x:c r="C277" s="14" t="str">
        <x:v>Specification curve analysis</x:v>
      </x:c>
      <x:c r="D277" s="14" t="str">
        <x:v>英文</x:v>
      </x:c>
      <x:c r="E277" s="15" t="str">
        <x:v>未处理</x:v>
      </x:c>
      <x:c r="F277" s="15" t="str"/>
      <x:c r="G277" s="16" t="str">
        <x:v>https://doi.org/10.1038/s41562-020-0912-z</x:v>
      </x:c>
      <x:c r="H277" s="14" t="str">
        <x:v>L05</x:v>
      </x:c>
      <x:c r="I277" s="14" t="str">
        <x:v>Simonsohn, U., Simmons, J. P., &amp; Nelson, L. D.</x:v>
      </x:c>
      <x:c r="J277" s="18" t="n">
        <x:v>2020</x:v>
      </x:c>
      <x:c r="K277" s="14" t="str">
        <x:v>研究文献</x:v>
      </x:c>
      <x:c r="L277" s="14" t="str">
        <x:v>优先</x:v>
      </x:c>
      <x:c r="M277" s="14" t="str">
        <x:v>未取得全文；页面响应不能证明全文权限。</x:v>
      </x:c>
      <x:c r="N277" s="14" t="str">
        <x:v>从 DOI 或出版社页查看全文；也可使用学校图书馆或作者公开版本。</x:v>
      </x:c>
      <x:c r="O277" s="14" t="str">
        <x:v>设定曲线分析与联合推断检验</x:v>
      </x:c>
      <x:c r="P277" s="14" t="str">
        <x:v>10.1038/s41562-020-0912-z</x:v>
      </x:c>
      <x:c r="Q277" s="14" t="str"/>
      <x:c r="R277" s="17"/>
      <x:c r="S277" s="14" t="str"/>
      <x:c r="T277" s="14" t="str"/>
      <x:c r="U277" s="19" t="n">
        <x:v>46303</x:v>
      </x:c>
    </x:row>
    <x:row r="278" ht="68" customHeight="1">
      <x:c r="A278" s="14" t="str">
        <x:v>D-5ADC19A3</x:v>
      </x:c>
      <x:c r="B278" s="14" t="str">
        <x:v>需人工获取</x:v>
      </x:c>
      <x:c r="C278" s="14" t="str">
        <x:v>Variability in the analysis of a single neuroimaging dataset by many teams</x:v>
      </x:c>
      <x:c r="D278" s="14" t="str">
        <x:v>英文</x:v>
      </x:c>
      <x:c r="E278" s="15" t="str">
        <x:v>未处理</x:v>
      </x:c>
      <x:c r="F278" s="15" t="str"/>
      <x:c r="G278" s="16" t="str">
        <x:v>https://doi.org/10.1038/s41586-020-2314-9</x:v>
      </x:c>
      <x:c r="H278" s="14" t="str">
        <x:v>L06</x:v>
      </x:c>
      <x:c r="I278" s="14" t="str">
        <x:v>Botvinik-Nezer, R., Holzmeister, F., Camerer, C. F., et al.</x:v>
      </x:c>
      <x:c r="J278" s="18" t="n">
        <x:v>2020</x:v>
      </x:c>
      <x:c r="K278" s="14" t="str">
        <x:v>研究文献</x:v>
      </x:c>
      <x:c r="L278" s="14" t="str">
        <x:v>优先</x:v>
      </x:c>
      <x:c r="M278" s="14" t="str">
        <x:v>未取得全文；页面响应不能证明全文权限。</x:v>
      </x:c>
      <x:c r="N278" s="14" t="str">
        <x:v>从 DOI 或出版社页查看全文；也可使用学校图书馆或作者公开版本。</x:v>
      </x:c>
      <x:c r="O278" s="14" t="str">
        <x:v>神经影像版本，70 个团队，结论差异同样巨大</x:v>
      </x:c>
      <x:c r="P278" s="14" t="str">
        <x:v>10.1038/s41586-020-2314-9</x:v>
      </x:c>
      <x:c r="Q278" s="14" t="str"/>
      <x:c r="R278" s="17"/>
      <x:c r="S278" s="14" t="str"/>
      <x:c r="T278" s="14" t="str"/>
      <x:c r="U278" s="19" t="n">
        <x:v>46303</x:v>
      </x:c>
    </x:row>
    <x:row r="279" ht="68" customHeight="1">
      <x:c r="A279" s="14" t="str">
        <x:v>D-F81E0D89</x:v>
      </x:c>
      <x:c r="B279" s="14" t="str">
        <x:v>需人工获取</x:v>
      </x:c>
      <x:c r="C279" s="14" t="str">
        <x:v>Many analysts, one data set: Making transparent how variations in analytic choices affect results</x:v>
      </x:c>
      <x:c r="D279" s="14" t="str">
        <x:v>英文</x:v>
      </x:c>
      <x:c r="E279" s="15" t="str">
        <x:v>未处理</x:v>
      </x:c>
      <x:c r="F279" s="15" t="str"/>
      <x:c r="G279" s="16" t="str">
        <x:v>https://doi.org/10.1177/2515245917747646</x:v>
      </x:c>
      <x:c r="H279" s="14" t="str">
        <x:v>L06；L07</x:v>
      </x:c>
      <x:c r="I279" s="14" t="str">
        <x:v>Silberzahn, R., Uhlmann, E. L., Martin, D. P., et al.</x:v>
      </x:c>
      <x:c r="J279" s="18" t="n">
        <x:v>2018</x:v>
      </x:c>
      <x:c r="K279" s="14" t="str">
        <x:v>研究文献</x:v>
      </x:c>
      <x:c r="L279" s="14" t="str">
        <x:v>优先</x:v>
      </x:c>
      <x:c r="M279" s="14" t="str">
        <x:v>2026-10-07 重试：来源页访问未完成（curl 22）；可从作者公开稿或学校图书馆继续获取。</x:v>
      </x:c>
      <x:c r="N279" s="14" t="str">
        <x:v>从 DOI 或出版社页查看全文；也可使用学校图书馆或作者公开版本。</x:v>
      </x:c>
      <x:c r="O279" s="14" t="str">
        <x:v>**这一类研究的开山之作**：29 个团队分析同一数据，效应量横跨正负</x:v>
      </x:c>
      <x:c r="P279" s="14" t="str">
        <x:v>10.1177/2515245917747646</x:v>
      </x:c>
      <x:c r="Q279" s="14" t="str"/>
      <x:c r="R279" s="17"/>
      <x:c r="S279" s="14" t="str"/>
      <x:c r="T279" s="14" t="str"/>
      <x:c r="U279" s="19" t="n">
        <x:v>46303</x:v>
      </x:c>
    </x:row>
    <x:row r="280" ht="68" customHeight="1">
      <x:c r="A280" s="14" t="str">
        <x:v>D-51E85931</x:v>
      </x:c>
      <x:c r="B280" s="14" t="str">
        <x:v>需人工获取</x:v>
      </x:c>
      <x:c r="C280" s="14" t="str">
        <x:v>The preregistration revolution</x:v>
      </x:c>
      <x:c r="D280" s="14" t="str">
        <x:v>英文</x:v>
      </x:c>
      <x:c r="E280" s="15" t="str">
        <x:v>未处理</x:v>
      </x:c>
      <x:c r="F280" s="15" t="str"/>
      <x:c r="G280" s="16" t="str">
        <x:v>https://doi.org/10.31219/osf.io/2dxu5</x:v>
      </x:c>
      <x:c r="H280" s="14" t="str">
        <x:v>L06；L07</x:v>
      </x:c>
      <x:c r="I280" s="14" t="str">
        <x:v>Nosek, B. A., Ebersole, C. R., DeHaven, A. C., &amp; Mellor, D. T.</x:v>
      </x:c>
      <x:c r="J280" s="18" t="n">
        <x:v>2018</x:v>
      </x:c>
      <x:c r="K280" s="14" t="str">
        <x:v>研究文献</x:v>
      </x:c>
      <x:c r="L280" s="14" t="str">
        <x:v>优先</x:v>
      </x:c>
      <x:c r="M280" s="14" t="str">
        <x:v>未取得全文；页面响应不能证明全文权限。</x:v>
      </x:c>
      <x:c r="N280" s="14" t="str">
        <x:v>从 DOI 或出版社页查看全文；也可使用学校图书馆或作者公开版本。</x:v>
      </x:c>
      <x:c r="O280" s="14" t="str">
        <x:v>**预注册解决什么、不解决什么** 链接为作者公开稿或工作论文，可能与正式发表版在年份、题名或内容上不同；引用时请核对所用版本。</x:v>
      </x:c>
      <x:c r="P280" s="14" t="str">
        <x:v>10.31219/osf.io/2dxu5</x:v>
      </x:c>
      <x:c r="Q280" s="14" t="str"/>
      <x:c r="R280" s="17"/>
      <x:c r="S280" s="14" t="str"/>
      <x:c r="T280" s="14" t="str"/>
      <x:c r="U280" s="19" t="n">
        <x:v>46303</x:v>
      </x:c>
    </x:row>
    <x:row r="281" ht="68" customHeight="1">
      <x:c r="A281" s="14" t="str">
        <x:v>D-363B47D1</x:v>
      </x:c>
      <x:c r="B281" s="14" t="str">
        <x:v>需人工获取</x:v>
      </x:c>
      <x:c r="C281" s="14" t="str">
        <x:v>Registered Reports: A new publishing initiative at Cortex</x:v>
      </x:c>
      <x:c r="D281" s="14" t="str">
        <x:v>英文</x:v>
      </x:c>
      <x:c r="E281" s="15" t="str">
        <x:v>未处理</x:v>
      </x:c>
      <x:c r="F281" s="15" t="str"/>
      <x:c r="G281" s="16" t="str">
        <x:v>https://doi.org/10.1016/j.cortex.2012.12.016</x:v>
      </x:c>
      <x:c r="H281" s="14" t="str">
        <x:v>L07</x:v>
      </x:c>
      <x:c r="I281" s="14" t="str">
        <x:v>Chambers, C. D.</x:v>
      </x:c>
      <x:c r="J281" s="18" t="n">
        <x:v>2013</x:v>
      </x:c>
      <x:c r="K281" s="14" t="str">
        <x:v>研究文献</x:v>
      </x:c>
      <x:c r="L281" s="14" t="str">
        <x:v>优先</x:v>
      </x:c>
      <x:c r="M281" s="14" t="str">
        <x:v>未取得全文；页面响应不能证明全文权限。</x:v>
      </x:c>
      <x:c r="N281" s="14" t="str">
        <x:v>从 DOI 或出版社页查看全文；也可使用学校图书馆或作者公开版本。</x:v>
      </x:c>
      <x:c r="O281" s="14" t="str">
        <x:v>注册报告的起点</x:v>
      </x:c>
      <x:c r="P281" s="14" t="str">
        <x:v>10.1016/j.cortex.2012.12.016</x:v>
      </x:c>
      <x:c r="Q281" s="14" t="str"/>
      <x:c r="R281" s="17"/>
      <x:c r="S281" s="14" t="str"/>
      <x:c r="T281" s="14" t="str"/>
      <x:c r="U281" s="19" t="n">
        <x:v>46303</x:v>
      </x:c>
    </x:row>
    <x:row r="282" ht="68" customHeight="1">
      <x:c r="A282" s="14" t="str">
        <x:v>D-FF4F776B</x:v>
      </x:c>
      <x:c r="B282" s="14" t="str">
        <x:v>需人工获取</x:v>
      </x:c>
      <x:c r="C282" s="14" t="str">
        <x:v>Meta-analytic structural equation modeling with moderating effects on SEM parameters</x:v>
      </x:c>
      <x:c r="D282" s="14" t="str">
        <x:v>英文</x:v>
      </x:c>
      <x:c r="E282" s="15" t="str">
        <x:v>未处理</x:v>
      </x:c>
      <x:c r="F282" s="15" t="str"/>
      <x:c r="G282" s="16" t="str">
        <x:v>https://doi.org/10.1037/met0000245</x:v>
      </x:c>
      <x:c r="H282" s="14" t="str">
        <x:v>L08</x:v>
      </x:c>
      <x:c r="I282" s="14" t="str">
        <x:v>Jak, S., &amp; Cheung, M. W.-L.</x:v>
      </x:c>
      <x:c r="J282" s="18" t="n">
        <x:v>2020</x:v>
      </x:c>
      <x:c r="K282" s="14" t="str">
        <x:v>研究文献</x:v>
      </x:c>
      <x:c r="L282" s="14" t="str">
        <x:v>优先</x:v>
      </x:c>
      <x:c r="M282" s="14" t="str">
        <x:v>未取得全文；页面响应不能证明全文权限。</x:v>
      </x:c>
      <x:c r="N282" s="14" t="str">
        <x:v>从 DOI 或出版社页查看全文；也可使用学校图书馆或作者公开版本。</x:v>
      </x:c>
      <x:c r="O282" s="14" t="str">
        <x:v>MASEM 的扩展与实践建议</x:v>
      </x:c>
      <x:c r="P282" s="14" t="str">
        <x:v>10.1037/met0000245</x:v>
      </x:c>
      <x:c r="Q282" s="14" t="str"/>
      <x:c r="R282" s="17"/>
      <x:c r="S282" s="14" t="str"/>
      <x:c r="T282" s="14" t="str"/>
      <x:c r="U282" s="19" t="n">
        <x:v>46303</x:v>
      </x:c>
    </x:row>
    <x:row r="283" ht="68" customHeight="1">
      <x:c r="A283" s="14" t="str">
        <x:v>D-6AF424F1</x:v>
      </x:c>
      <x:c r="B283" s="14" t="str">
        <x:v>需人工获取</x:v>
      </x:c>
      <x:c r="C283" s="14" t="str">
        <x:v>Meta-analytic structural equation modeling: A two-stage approach</x:v>
      </x:c>
      <x:c r="D283" s="14" t="str">
        <x:v>英文</x:v>
      </x:c>
      <x:c r="E283" s="15" t="str">
        <x:v>未处理</x:v>
      </x:c>
      <x:c r="F283" s="15" t="str"/>
      <x:c r="G283" s="16" t="str">
        <x:v>https://doi.org/10.1037/1082-989x.10.1.40</x:v>
      </x:c>
      <x:c r="H283" s="14" t="str">
        <x:v>L08</x:v>
      </x:c>
      <x:c r="I283" s="14" t="str">
        <x:v>Cheung, M. W.-L., &amp; Chan, W.</x:v>
      </x:c>
      <x:c r="J283" s="18" t="n">
        <x:v>2005</x:v>
      </x:c>
      <x:c r="K283" s="14" t="str">
        <x:v>研究文献</x:v>
      </x:c>
      <x:c r="L283" s="14" t="str">
        <x:v>优先</x:v>
      </x:c>
      <x:c r="M283" s="14" t="str">
        <x:v>未取得全文；页面响应不能证明全文权限。</x:v>
      </x:c>
      <x:c r="N283" s="14" t="str">
        <x:v>从 DOI 或出版社页查看全文；也可使用学校图书馆或作者公开版本。</x:v>
      </x:c>
      <x:c r="O283" s="14" t="str">
        <x:v>两阶段 MASEM 的来源</x:v>
      </x:c>
      <x:c r="P283" s="14" t="str">
        <x:v>10.1037/1082-989x.10.1.40</x:v>
      </x:c>
      <x:c r="Q283" s="14" t="str"/>
      <x:c r="R283" s="17"/>
      <x:c r="S283" s="14" t="str"/>
      <x:c r="T283" s="14" t="str"/>
      <x:c r="U283" s="19" t="n">
        <x:v>46303</x:v>
      </x:c>
    </x:row>
    <x:row r="284" ht="68" customHeight="1">
      <x:c r="A284" s="14" t="str">
        <x:v>D-520E5704</x:v>
      </x:c>
      <x:c r="B284" s="14" t="str">
        <x:v>需人工获取</x:v>
      </x:c>
      <x:c r="C284" s="14" t="str">
        <x:v>Network meta-analysis for indirect treatment comparisons</x:v>
      </x:c>
      <x:c r="D284" s="14" t="str">
        <x:v>英文</x:v>
      </x:c>
      <x:c r="E284" s="15" t="str">
        <x:v>未处理</x:v>
      </x:c>
      <x:c r="F284" s="15" t="str"/>
      <x:c r="G284" s="16" t="str">
        <x:v>https://doi.org/10.1002/sim.1201</x:v>
      </x:c>
      <x:c r="H284" s="14" t="str">
        <x:v>L08</x:v>
      </x:c>
      <x:c r="I284" s="14" t="str">
        <x:v>Lumley, T.</x:v>
      </x:c>
      <x:c r="J284" s="18" t="n">
        <x:v>2002</x:v>
      </x:c>
      <x:c r="K284" s="14" t="str">
        <x:v>研究文献</x:v>
      </x:c>
      <x:c r="L284" s="14" t="str">
        <x:v>优先</x:v>
      </x:c>
      <x:c r="M284" s="14" t="str">
        <x:v>未取得全文；页面响应不能证明全文权限。</x:v>
      </x:c>
      <x:c r="N284" s="14" t="str">
        <x:v>从 DOI 或出版社页查看全文；也可使用学校图书馆或作者公开版本。</x:v>
      </x:c>
      <x:c r="O284" s="14" t="str">
        <x:v>网络元分析的来源</x:v>
      </x:c>
      <x:c r="P284" s="14" t="str">
        <x:v>10.1002/sim.1201</x:v>
      </x:c>
      <x:c r="Q284" s="14" t="str"/>
      <x:c r="R284" s="17"/>
      <x:c r="S284" s="14" t="str"/>
      <x:c r="T284" s="14" t="str"/>
      <x:c r="U284" s="19" t="n">
        <x:v>46303</x:v>
      </x:c>
    </x:row>
    <x:row r="285" ht="68" customHeight="1">
      <x:c r="A285" s="14" t="str">
        <x:v>D-29A12BD9</x:v>
      </x:c>
      <x:c r="B285" s="14" t="str">
        <x:v>需人工获取</x:v>
      </x:c>
      <x:c r="C285" s="14" t="str">
        <x:v>Essential Mathematics for Political and Social Research</x:v>
      </x:c>
      <x:c r="D285" s="14" t="str">
        <x:v>英文</x:v>
      </x:c>
      <x:c r="E285" s="15" t="str">
        <x:v>未处理</x:v>
      </x:c>
      <x:c r="F285" s="15" t="str"/>
      <x:c r="G285" s="16" t="str">
        <x:v>https://www.cambridge.org/core/books/essential-mathematics-for-political-and-social-research/168CF3363DE1A8CB35F7D782904FFA1A</x:v>
      </x:c>
      <x:c r="H285" s="14" t="str">
        <x:v>M01；M02；M03；M04；M05；M06；M07；M08；M09；M10；M11；M12；M13；M14；M15</x:v>
      </x:c>
      <x:c r="I285" s="14" t="str">
        <x:v>Gill, J.</x:v>
      </x:c>
      <x:c r="J285" s="18" t="n">
        <x:v>2006</x:v>
      </x:c>
      <x:c r="K285" s="14" t="str">
        <x:v>研究文献</x:v>
      </x:c>
      <x:c r="L285" s="14" t="str">
        <x:v>优先</x:v>
      </x:c>
      <x:c r="M285" s="14" t="str">
        <x:v>未取得全文；页面响应不能证明全文权限。</x:v>
      </x:c>
      <x:c r="N285" s="14" t="str">
        <x:v>从 DOI 或出版社页查看全文；也可使用学校图书馆或作者公开版本。</x:v>
      </x:c>
      <x:c r="O285" s="14" t="str">
        <x:v>**为社会科学写的数学书**。从集合与函数讲到矩阵与微积分，每个概念都配社会科学的例子，不假设理工科背景</x:v>
      </x:c>
      <x:c r="P285" s="14" t="str"/>
      <x:c r="Q285" s="14" t="str"/>
      <x:c r="R285" s="17"/>
      <x:c r="S285" s="14" t="str"/>
      <x:c r="T285" s="14" t="str"/>
      <x:c r="U285" s="19" t="n">
        <x:v>46303</x:v>
      </x:c>
    </x:row>
    <x:row r="286" ht="68" customHeight="1">
      <x:c r="A286" s="14" t="str">
        <x:v>D-D08BEC4A</x:v>
      </x:c>
      <x:c r="B286" s="14" t="str">
        <x:v>需人工获取</x:v>
      </x:c>
      <x:c r="C286" s="14" t="str">
        <x:v>How to improve Bayesian reasoning without instruction: Frequency formats</x:v>
      </x:c>
      <x:c r="D286" s="14" t="str">
        <x:v>英文</x:v>
      </x:c>
      <x:c r="E286" s="15" t="str">
        <x:v>未处理</x:v>
      </x:c>
      <x:c r="F286" s="15" t="str"/>
      <x:c r="G286" s="16" t="str">
        <x:v>https://doi.org/10.1037/0033-295x.102.4.684</x:v>
      </x:c>
      <x:c r="H286" s="14" t="str">
        <x:v>M08</x:v>
      </x:c>
      <x:c r="I286" s="14" t="str">
        <x:v>Gigerenzer, G., &amp; Hoffrage, U.</x:v>
      </x:c>
      <x:c r="J286" s="18" t="n">
        <x:v>1995</x:v>
      </x:c>
      <x:c r="K286" s="14" t="str">
        <x:v>研究文献</x:v>
      </x:c>
      <x:c r="L286" s="14" t="str">
        <x:v>优先</x:v>
      </x:c>
      <x:c r="M286" s="14" t="str">
        <x:v>未取得全文；页面响应不能证明全文权限。</x:v>
      </x:c>
      <x:c r="N286" s="14" t="str">
        <x:v>从 DOI 或出版社页查看全文；也可使用学校图书馆或作者公开版本。</x:v>
      </x:c>
      <x:c r="O286" s="14" t="str">
        <x:v>**用自然频数代替概率，理解率大幅提升**。这篇本身就是心理学经典，也是学贝叶斯最好的入口</x:v>
      </x:c>
      <x:c r="P286" s="14" t="str">
        <x:v>10.1037/0033-295x.102.4.684</x:v>
      </x:c>
      <x:c r="Q286" s="14" t="str"/>
      <x:c r="R286" s="17"/>
      <x:c r="S286" s="14" t="str"/>
      <x:c r="T286" s="14" t="str"/>
      <x:c r="U286" s="19" t="n">
        <x:v>46303</x:v>
      </x:c>
    </x:row>
    <x:row r="287" ht="68" customHeight="1">
      <x:c r="A287" s="14" t="str">
        <x:v>D-60AAD37A</x:v>
      </x:c>
      <x:c r="B287" s="14" t="str">
        <x:v>需人工获取</x:v>
      </x:c>
      <x:c r="C287" s="14" t="str">
        <x:v>Using simulation studies to evaluate statistical methods</x:v>
      </x:c>
      <x:c r="D287" s="14" t="str">
        <x:v>英文</x:v>
      </x:c>
      <x:c r="E287" s="15" t="str">
        <x:v>未处理</x:v>
      </x:c>
      <x:c r="F287" s="15" t="str"/>
      <x:c r="G287" s="16" t="str">
        <x:v>https://doi.org/10.1002/sim.8086</x:v>
      </x:c>
      <x:c r="H287" s="14" t="str">
        <x:v>M12</x:v>
      </x:c>
      <x:c r="I287" s="14" t="str">
        <x:v>Morris, T. P., White, I. R., &amp; Crowther, M. J.</x:v>
      </x:c>
      <x:c r="J287" s="18" t="n">
        <x:v>2019</x:v>
      </x:c>
      <x:c r="K287" s="14" t="str">
        <x:v>研究文献</x:v>
      </x:c>
      <x:c r="L287" s="14" t="str">
        <x:v>优先</x:v>
      </x:c>
      <x:c r="M287" s="14" t="str">
        <x:v>未取得全文；页面响应不能证明全文权限。</x:v>
      </x:c>
      <x:c r="N287" s="14" t="str">
        <x:v>从 DOI 或出版社页查看全文；也可使用学校图书馆或作者公开版本。</x:v>
      </x:c>
      <x:c r="O287" s="14" t="str">
        <x:v>**怎么读懂（和怎么做）方法学论文里的模拟研究**：bias、coverage、MCSE 各是什么意思</x:v>
      </x:c>
      <x:c r="P287" s="14" t="str">
        <x:v>10.1002/sim.8086</x:v>
      </x:c>
      <x:c r="Q287" s="14" t="str"/>
      <x:c r="R287" s="17"/>
      <x:c r="S287" s="14" t="str"/>
      <x:c r="T287" s="14" t="str"/>
      <x:c r="U287" s="19" t="n">
        <x:v>46303</x:v>
      </x:c>
    </x:row>
    <x:row r="288" ht="68" customHeight="1">
      <x:c r="A288" s="14" t="str">
        <x:v>D-DBBFCF32</x:v>
      </x:c>
      <x:c r="B288" s="14" t="str">
        <x:v>需人工获取</x:v>
      </x:c>
      <x:c r="C288" s="14" t="str">
        <x:v>Tutorial on maximum likelihood estimation</x:v>
      </x:c>
      <x:c r="D288" s="14" t="str">
        <x:v>英文</x:v>
      </x:c>
      <x:c r="E288" s="15" t="str">
        <x:v>未处理</x:v>
      </x:c>
      <x:c r="F288" s="15" t="str"/>
      <x:c r="G288" s="16" t="str">
        <x:v>https://doi.org/10.1016/s0022-2496(02)00028-7</x:v>
      </x:c>
      <x:c r="H288" s="14" t="str">
        <x:v>M13</x:v>
      </x:c>
      <x:c r="I288" s="14" t="str">
        <x:v>Myung, I. J.</x:v>
      </x:c>
      <x:c r="J288" s="18" t="n">
        <x:v>2003</x:v>
      </x:c>
      <x:c r="K288" s="14" t="str">
        <x:v>研究文献</x:v>
      </x:c>
      <x:c r="L288" s="14" t="str">
        <x:v>优先</x:v>
      </x:c>
      <x:c r="M288" s="14" t="str">
        <x:v>未取得全文；页面响应不能证明全文权限。</x:v>
      </x:c>
      <x:c r="N288" s="14" t="str">
        <x:v>从 DOI 或出版社页查看全文；也可使用学校图书馆或作者公开版本。</x:v>
      </x:c>
      <x:c r="O288" s="14" t="str">
        <x:v>**写给心理学的极大似然教程**，篇幅短，例子是心理学的</x:v>
      </x:c>
      <x:c r="P288" s="14" t="str">
        <x:v>10.1016/s0022-2496(02)00028-7</x:v>
      </x:c>
      <x:c r="Q288" s="14" t="str"/>
      <x:c r="R288" s="17"/>
      <x:c r="S288" s="14" t="str"/>
      <x:c r="T288" s="14" t="str"/>
      <x:c r="U288" s="19" t="n">
        <x:v>46303</x:v>
      </x:c>
    </x:row>
    <x:row r="289" ht="68" customHeight="1">
      <x:c r="A289" s="14" t="str">
        <x:v>D-45856821</x:v>
      </x:c>
      <x:c r="B289" s="14" t="str">
        <x:v>需人工获取</x:v>
      </x:c>
      <x:c r="C289" s="14" t="str">
        <x:v>Multimodel inference: Understanding AIC and BIC in model selection</x:v>
      </x:c>
      <x:c r="D289" s="14" t="str">
        <x:v>英文</x:v>
      </x:c>
      <x:c r="E289" s="15" t="str">
        <x:v>未处理</x:v>
      </x:c>
      <x:c r="F289" s="15" t="str"/>
      <x:c r="G289" s="16" t="str">
        <x:v>https://doi.org/10.1007/b97636</x:v>
      </x:c>
      <x:c r="H289" s="14" t="str">
        <x:v>M15</x:v>
      </x:c>
      <x:c r="I289" s="14" t="str">
        <x:v>Burnham, K. P., &amp; Anderson, D. R.</x:v>
      </x:c>
      <x:c r="J289" s="18" t="n">
        <x:v>2004</x:v>
      </x:c>
      <x:c r="K289" s="14" t="str">
        <x:v>研究文献</x:v>
      </x:c>
      <x:c r="L289" s="14" t="str">
        <x:v>优先</x:v>
      </x:c>
      <x:c r="M289" s="14" t="str">
        <x:v>未取得全文；页面响应不能证明全文权限。</x:v>
      </x:c>
      <x:c r="N289" s="14" t="str">
        <x:v>从 DOI 或出版社页查看全文；也可使用学校图书馆或作者公开版本。</x:v>
      </x:c>
      <x:c r="O289" s="14" t="str">
        <x:v>**AIC 与 BIC 的差别到底在哪**，以及什么时候该用哪个。发在社会学方法学期刊上</x:v>
      </x:c>
      <x:c r="P289" s="14" t="str">
        <x:v>10.1007/b97636</x:v>
      </x:c>
      <x:c r="Q289" s="14" t="str"/>
      <x:c r="R289" s="17"/>
      <x:c r="S289" s="14" t="str"/>
      <x:c r="T289" s="14" t="str"/>
      <x:c r="U289" s="19" t="n">
        <x:v>46303</x:v>
      </x:c>
    </x:row>
    <x:row r="290" ht="68" customHeight="1">
      <x:c r="A290" s="14" t="str">
        <x:v>D-8D056771</x:v>
      </x:c>
      <x:c r="B290" s="14" t="str">
        <x:v>需人工获取</x:v>
      </x:c>
      <x:c r="C290" s="14" t="str">
        <x:v>Missing data analysis: Making it work in the real world</x:v>
      </x:c>
      <x:c r="D290" s="14" t="str">
        <x:v>英文</x:v>
      </x:c>
      <x:c r="E290" s="15" t="str">
        <x:v>未处理</x:v>
      </x:c>
      <x:c r="F290" s="15" t="str"/>
      <x:c r="G290" s="16" t="str">
        <x:v>https://doi.org/10.1146/annurev.psych.58.110405.085530</x:v>
      </x:c>
      <x:c r="H290" s="14" t="str">
        <x:v>N01</x:v>
      </x:c>
      <x:c r="I290" s="14" t="str">
        <x:v>Graham, J. W.</x:v>
      </x:c>
      <x:c r="J290" s="18" t="n">
        <x:v>2009</x:v>
      </x:c>
      <x:c r="K290" s="14" t="str">
        <x:v>研究文献</x:v>
      </x:c>
      <x:c r="L290" s="14" t="str">
        <x:v>优先</x:v>
      </x:c>
      <x:c r="M290" s="14" t="str">
        <x:v>未取得全文；页面响应不能证明全文权限。</x:v>
      </x:c>
      <x:c r="N290" s="14" t="str">
        <x:v>从 DOI 或出版社页查看全文；也可使用学校图书馆或作者公开版本。</x:v>
      </x:c>
      <x:c r="O290" s="14" t="str">
        <x:v>**辅助变量的价值**：加入与缺失相关的变量能大幅改善 MAR 假设</x:v>
      </x:c>
      <x:c r="P290" s="14" t="str">
        <x:v>10.1146/annurev.psych.58.110405.085530</x:v>
      </x:c>
      <x:c r="Q290" s="14" t="str"/>
      <x:c r="R290" s="17"/>
      <x:c r="S290" s="14" t="str"/>
      <x:c r="T290" s="14" t="str"/>
      <x:c r="U290" s="19" t="n">
        <x:v>46303</x:v>
      </x:c>
    </x:row>
    <x:row r="291" ht="68" customHeight="1">
      <x:c r="A291" s="14" t="str">
        <x:v>D-C5797B06</x:v>
      </x:c>
      <x:c r="B291" s="14" t="str">
        <x:v>需人工获取</x:v>
      </x:c>
      <x:c r="C291" s="14" t="str">
        <x:v>Flexible Imputation of Missing Data (2nd ed.)</x:v>
      </x:c>
      <x:c r="D291" s="14" t="str">
        <x:v>英文</x:v>
      </x:c>
      <x:c r="E291" s="15" t="str">
        <x:v>未处理</x:v>
      </x:c>
      <x:c r="F291" s="15" t="str"/>
      <x:c r="G291" s="16" t="str">
        <x:v>https://stefvanbuuren.name/fimd/</x:v>
      </x:c>
      <x:c r="H291" s="14" t="str">
        <x:v>N01；N02；N03；N04；N05；N06；N08；N09</x:v>
      </x:c>
      <x:c r="I291" s="14" t="str">
        <x:v>van Buuren, S.</x:v>
      </x:c>
      <x:c r="J291" s="18" t="n">
        <x:v>2018</x:v>
      </x:c>
      <x:c r="K291" s="14" t="str">
        <x:v>研究文献</x:v>
      </x:c>
      <x:c r="L291" s="14" t="str">
        <x:v>优先</x:v>
      </x:c>
      <x:c r="M291" s="14" t="str">
        <x:v>未取得全文；页面响应不能证明全文权限。</x:v>
      </x:c>
      <x:c r="N291" s="14" t="str">
        <x:v>从 DOI 或出版社页查看全文；也可使用学校图书馆或作者公开版本。</x:v>
      </x:c>
      <x:c r="O291" s="14" t="str">
        <x:v>**mice 作者写的，免费全文在线**，是这个方法最好的参考</x:v>
      </x:c>
      <x:c r="P291" s="14" t="str"/>
      <x:c r="Q291" s="14" t="str"/>
      <x:c r="R291" s="17"/>
      <x:c r="S291" s="14" t="str"/>
      <x:c r="T291" s="14" t="str"/>
      <x:c r="U291" s="19" t="n">
        <x:v>46303</x:v>
      </x:c>
    </x:row>
    <x:row r="292" ht="68" customHeight="1">
      <x:c r="A292" s="14" t="str">
        <x:v>D-4C1E81F9</x:v>
      </x:c>
      <x:c r="B292" s="14" t="str">
        <x:v>需人工获取</x:v>
      </x:c>
      <x:c r="C292" s="14" t="str">
        <x:v>Multiple Imputation for Nonresponse in Surveys</x:v>
      </x:c>
      <x:c r="D292" s="14" t="str">
        <x:v>英文</x:v>
      </x:c>
      <x:c r="E292" s="15" t="str">
        <x:v>未处理</x:v>
      </x:c>
      <x:c r="F292" s="15" t="str"/>
      <x:c r="G292" s="16" t="str">
        <x:v>https://doi.org/10.1002/9780470316696</x:v>
      </x:c>
      <x:c r="H292" s="14" t="str">
        <x:v>N02</x:v>
      </x:c>
      <x:c r="I292" s="14" t="str">
        <x:v>Rubin, D. B.</x:v>
      </x:c>
      <x:c r="J292" s="18" t="n">
        <x:v>1987</x:v>
      </x:c>
      <x:c r="K292" s="14" t="str">
        <x:v>研究文献</x:v>
      </x:c>
      <x:c r="L292" s="14" t="str">
        <x:v>优先</x:v>
      </x:c>
      <x:c r="M292" s="14" t="str">
        <x:v>未取得全文；页面响应不能证明全文权限。</x:v>
      </x:c>
      <x:c r="N292" s="14" t="str">
        <x:v>从 DOI 或出版社页查看全文；也可使用学校图书馆或作者公开版本。</x:v>
      </x:c>
      <x:c r="O292" s="14" t="str">
        <x:v>多重插补与 Rubin 合并规则的来源</x:v>
      </x:c>
      <x:c r="P292" s="14" t="str">
        <x:v>10.1002/9780470316696</x:v>
      </x:c>
      <x:c r="Q292" s="14" t="str"/>
      <x:c r="R292" s="17"/>
      <x:c r="S292" s="14" t="str"/>
      <x:c r="T292" s="14" t="str"/>
      <x:c r="U292" s="19" t="n">
        <x:v>46303</x:v>
      </x:c>
    </x:row>
    <x:row r="293" ht="68" customHeight="1">
      <x:c r="A293" s="14" t="str">
        <x:v>D-8327A1C9</x:v>
      </x:c>
      <x:c r="B293" s="14" t="str">
        <x:v>需人工获取</x:v>
      </x:c>
      <x:c r="C293" s="14" t="str">
        <x:v>Multiple imputation using chained equations: Issues and guidance for practice</x:v>
      </x:c>
      <x:c r="D293" s="14" t="str">
        <x:v>英文</x:v>
      </x:c>
      <x:c r="E293" s="15" t="str">
        <x:v>未处理</x:v>
      </x:c>
      <x:c r="F293" s="15" t="str"/>
      <x:c r="G293" s="16" t="str">
        <x:v>https://doi.org/10.1002/sim.4067</x:v>
      </x:c>
      <x:c r="H293" s="14" t="str">
        <x:v>N02</x:v>
      </x:c>
      <x:c r="I293" s="14" t="str">
        <x:v>White, I. R., Royston, P., &amp; Wood, A. M.</x:v>
      </x:c>
      <x:c r="J293" s="18" t="n">
        <x:v>2011</x:v>
      </x:c>
      <x:c r="K293" s="14" t="str">
        <x:v>研究文献</x:v>
      </x:c>
      <x:c r="L293" s="14" t="str">
        <x:v>优先</x:v>
      </x:c>
      <x:c r="M293" s="14" t="str">
        <x:v>未取得全文；页面响应不能证明全文权限。</x:v>
      </x:c>
      <x:c r="N293" s="14" t="str">
        <x:v>从 DOI 或出版社页查看全文；也可使用学校图书馆或作者公开版本。</x:v>
      </x:c>
      <x:c r="O293" s="14" t="str">
        <x:v>**实践指南**：m 该取多少、插补模型该包含什么</x:v>
      </x:c>
      <x:c r="P293" s="14" t="str">
        <x:v>10.1002/sim.4067</x:v>
      </x:c>
      <x:c r="Q293" s="14" t="str"/>
      <x:c r="R293" s="17"/>
      <x:c r="S293" s="14" t="str"/>
      <x:c r="T293" s="14" t="str"/>
      <x:c r="U293" s="19" t="n">
        <x:v>46303</x:v>
      </x:c>
    </x:row>
    <x:row r="294" ht="68" customHeight="1">
      <x:c r="A294" s="14" t="str">
        <x:v>D-E3242C49</x:v>
      </x:c>
      <x:c r="B294" s="14" t="str">
        <x:v>需人工获取</x:v>
      </x:c>
      <x:c r="C294" s="14" t="str">
        <x:v>An analysis of transformations</x:v>
      </x:c>
      <x:c r="D294" s="14" t="str">
        <x:v>英文</x:v>
      </x:c>
      <x:c r="E294" s="15" t="str">
        <x:v>未处理</x:v>
      </x:c>
      <x:c r="F294" s="15" t="str"/>
      <x:c r="G294" s="16" t="str">
        <x:v>https://doi.org/10.1111/j.2517-6161.1964.tb00553.x</x:v>
      </x:c>
      <x:c r="H294" s="14" t="str">
        <x:v>N04</x:v>
      </x:c>
      <x:c r="I294" s="14" t="str">
        <x:v>Box, G. E. P., &amp; Cox, D. R.</x:v>
      </x:c>
      <x:c r="J294" s="18" t="n">
        <x:v>1964</x:v>
      </x:c>
      <x:c r="K294" s="14" t="str">
        <x:v>研究文献</x:v>
      </x:c>
      <x:c r="L294" s="14" t="str">
        <x:v>优先</x:v>
      </x:c>
      <x:c r="M294" s="14" t="str">
        <x:v>未取得全文；页面响应不能证明全文权限。</x:v>
      </x:c>
      <x:c r="N294" s="14" t="str">
        <x:v>从 DOI 或出版社页查看全文；也可使用学校图书馆或作者公开版本。</x:v>
      </x:c>
      <x:c r="O294" s="14" t="str">
        <x:v>Box-Cox 变换的来源</x:v>
      </x:c>
      <x:c r="P294" s="14" t="str">
        <x:v>10.1111/j.2517-6161.1964.tb00553.x</x:v>
      </x:c>
      <x:c r="Q294" s="14" t="str"/>
      <x:c r="R294" s="17"/>
      <x:c r="S294" s="14" t="str"/>
      <x:c r="T294" s="14" t="str"/>
      <x:c r="U294" s="19" t="n">
        <x:v>46303</x:v>
      </x:c>
    </x:row>
    <x:row r="295" ht="68" customHeight="1">
      <x:c r="A295" s="14" t="str">
        <x:v>D-01EF1B2F</x:v>
      </x:c>
      <x:c r="B295" s="14" t="str">
        <x:v>需人工获取</x:v>
      </x:c>
      <x:c r="C295" s="14" t="str">
        <x:v>Bayesian multilevel estimation with poststratification: State-level estimates from national polls</x:v>
      </x:c>
      <x:c r="D295" s="14" t="str">
        <x:v>英文</x:v>
      </x:c>
      <x:c r="E295" s="15" t="str">
        <x:v>未处理</x:v>
      </x:c>
      <x:c r="F295" s="15" t="str"/>
      <x:c r="G295" s="16" t="str">
        <x:v>https://doi.org/10.1093/pan/mph024</x:v>
      </x:c>
      <x:c r="H295" s="14" t="str">
        <x:v>N05</x:v>
      </x:c>
      <x:c r="I295" s="14" t="str">
        <x:v>Park, D. K., Gelman, A., &amp; Bafumi, J.</x:v>
      </x:c>
      <x:c r="J295" s="18" t="n">
        <x:v>2004</x:v>
      </x:c>
      <x:c r="K295" s="14" t="str">
        <x:v>研究文献</x:v>
      </x:c>
      <x:c r="L295" s="14" t="str">
        <x:v>优先</x:v>
      </x:c>
      <x:c r="M295" s="14" t="str">
        <x:v>未取得全文；页面响应不能证明全文权限。</x:v>
      </x:c>
      <x:c r="N295" s="14" t="str">
        <x:v>从 DOI 或出版社页查看全文；也可使用学校图书馆或作者公开版本。</x:v>
      </x:c>
      <x:c r="O295" s="14" t="str">
        <x:v>**MRP 的来源**：用全国样本估计各州态度</x:v>
      </x:c>
      <x:c r="P295" s="14" t="str">
        <x:v>10.1093/pan/mph024</x:v>
      </x:c>
      <x:c r="Q295" s="14" t="str"/>
      <x:c r="R295" s="17"/>
      <x:c r="S295" s="14" t="str"/>
      <x:c r="T295" s="14" t="str"/>
      <x:c r="U295" s="19" t="n">
        <x:v>46303</x:v>
      </x:c>
    </x:row>
    <x:row r="296" ht="68" customHeight="1">
      <x:c r="A296" s="14" t="str">
        <x:v>D-D1324115</x:v>
      </x:c>
      <x:c r="B296" s="14" t="str">
        <x:v>需人工获取</x:v>
      </x:c>
      <x:c r="C296" s="14" t="str">
        <x:v>Forecasting elections with non-representative polls</x:v>
      </x:c>
      <x:c r="D296" s="14" t="str">
        <x:v>英文</x:v>
      </x:c>
      <x:c r="E296" s="15" t="str">
        <x:v>未处理</x:v>
      </x:c>
      <x:c r="F296" s="15" t="str"/>
      <x:c r="G296" s="16" t="str">
        <x:v>https://doi.org/10.1016/j.ijforecast.2014.06.001</x:v>
      </x:c>
      <x:c r="H296" s="14" t="str">
        <x:v>N05</x:v>
      </x:c>
      <x:c r="I296" s="14" t="str">
        <x:v>Wang, W., Rothschild, D., Goel, S., &amp; Gelman, A.</x:v>
      </x:c>
      <x:c r="J296" s="18" t="n">
        <x:v>2015</x:v>
      </x:c>
      <x:c r="K296" s="14" t="str">
        <x:v>研究文献</x:v>
      </x:c>
      <x:c r="L296" s="14" t="str">
        <x:v>优先</x:v>
      </x:c>
      <x:c r="M296" s="14" t="str">
        <x:v>未取得全文；页面响应不能证明全文权限。</x:v>
      </x:c>
      <x:c r="N296" s="14" t="str">
        <x:v>从 DOI 或出版社页查看全文；也可使用学校图书馆或作者公开版本。</x:v>
      </x:c>
      <x:c r="O296" s="14" t="str">
        <x:v>**用 Xbox 玩家样本预测大选**——MRP 威力的经典演示</x:v>
      </x:c>
      <x:c r="P296" s="14" t="str">
        <x:v>10.1016/j.ijforecast.2014.06.001</x:v>
      </x:c>
      <x:c r="Q296" s="14" t="str"/>
      <x:c r="R296" s="17"/>
      <x:c r="S296" s="14" t="str"/>
      <x:c r="T296" s="14" t="str"/>
      <x:c r="U296" s="19" t="n">
        <x:v>46303</x:v>
      </x:c>
    </x:row>
    <x:row r="297" ht="68" customHeight="1">
      <x:c r="A297" s="14" t="str">
        <x:v>D-B83F3421</x:v>
      </x:c>
      <x:c r="B297" s="14" t="str">
        <x:v>需人工获取</x:v>
      </x:c>
      <x:c r="C297" s="14" t="str">
        <x:v>What are we weighting for?</x:v>
      </x:c>
      <x:c r="D297" s="14" t="str">
        <x:v>英文</x:v>
      </x:c>
      <x:c r="E297" s="15" t="str">
        <x:v>未处理</x:v>
      </x:c>
      <x:c r="F297" s="15" t="str"/>
      <x:c r="G297" s="16" t="str">
        <x:v>https://doi.org/10.3368/jhr.50.2.301</x:v>
      </x:c>
      <x:c r="H297" s="14" t="str">
        <x:v>N05</x:v>
      </x:c>
      <x:c r="I297" s="14" t="str">
        <x:v>Solon, G., Haider, S. J., &amp; Wooldridge, J. M.</x:v>
      </x:c>
      <x:c r="J297" s="18" t="n">
        <x:v>2015</x:v>
      </x:c>
      <x:c r="K297" s="14" t="str">
        <x:v>研究文献</x:v>
      </x:c>
      <x:c r="L297" s="14" t="str">
        <x:v>优先</x:v>
      </x:c>
      <x:c r="M297" s="14" t="str">
        <x:v>未取得全文；页面响应不能证明全文权限。</x:v>
      </x:c>
      <x:c r="N297" s="14" t="str">
        <x:v>从 DOI 或出版社页查看全文；也可使用学校图书馆或作者公开版本。</x:v>
      </x:c>
      <x:c r="O297" s="14" t="str">
        <x:v>**什么时候该加权、什么时候不该**——加权会增大方差</x:v>
      </x:c>
      <x:c r="P297" s="14" t="str">
        <x:v>10.3368/jhr.50.2.301</x:v>
      </x:c>
      <x:c r="Q297" s="14" t="str"/>
      <x:c r="R297" s="17"/>
      <x:c r="S297" s="14" t="str"/>
      <x:c r="T297" s="14" t="str"/>
      <x:c r="U297" s="19" t="n">
        <x:v>46303</x:v>
      </x:c>
    </x:row>
    <x:row r="298" ht="68" customHeight="1">
      <x:c r="A298" s="14" t="str">
        <x:v>D-5F27B2EE</x:v>
      </x:c>
      <x:c r="B298" s="14" t="str">
        <x:v>需人工获取</x:v>
      </x:c>
      <x:c r="C298" s="14" t="str">
        <x:v>The proof and measurement of association between two things</x:v>
      </x:c>
      <x:c r="D298" s="14" t="str">
        <x:v>英文</x:v>
      </x:c>
      <x:c r="E298" s="15" t="str">
        <x:v>未处理</x:v>
      </x:c>
      <x:c r="F298" s="15" t="str"/>
      <x:c r="G298" s="16" t="str">
        <x:v>https://doi.org/10.2307/1412159</x:v>
      </x:c>
      <x:c r="H298" s="14" t="str">
        <x:v>N06</x:v>
      </x:c>
      <x:c r="I298" s="14" t="str">
        <x:v>Spearman, C.</x:v>
      </x:c>
      <x:c r="J298" s="18" t="n">
        <x:v>1904</x:v>
      </x:c>
      <x:c r="K298" s="14" t="str">
        <x:v>研究文献</x:v>
      </x:c>
      <x:c r="L298" s="14" t="str">
        <x:v>优先</x:v>
      </x:c>
      <x:c r="M298" s="14" t="str">
        <x:v>未取得全文；页面响应不能证明全文权限。</x:v>
      </x:c>
      <x:c r="N298" s="14" t="str">
        <x:v>从 DOI 或出版社页查看全文；也可使用学校图书馆或作者公开版本。</x:v>
      </x:c>
      <x:c r="O298" s="14" t="str">
        <x:v>衰减校正公式的来源</x:v>
      </x:c>
      <x:c r="P298" s="14" t="str">
        <x:v>10.2307/1412159</x:v>
      </x:c>
      <x:c r="Q298" s="14" t="str"/>
      <x:c r="R298" s="17"/>
      <x:c r="S298" s="14" t="str"/>
      <x:c r="T298" s="14" t="str"/>
      <x:c r="U298" s="19" t="n">
        <x:v>46303</x:v>
      </x:c>
    </x:row>
    <x:row r="299" ht="68" customHeight="1">
      <x:c r="A299" s="14" t="str">
        <x:v>D-D561F047</x:v>
      </x:c>
      <x:c r="B299" s="14" t="str">
        <x:v>需人工获取</x:v>
      </x:c>
      <x:c r="C299" s="14" t="str">
        <x:v>Bayesian Indirect Estimation of Historical Fertility in Europe and US Using Online Genealogical Data</x:v>
      </x:c>
      <x:c r="D299" s="14" t="str">
        <x:v>英文</x:v>
      </x:c>
      <x:c r="E299" s="15" t="str">
        <x:v>未处理</x:v>
      </x:c>
      <x:c r="F299" s="15" t="str"/>
      <x:c r="G299" s="16" t="str">
        <x:v>https://doi.org/10.1177/00491241261463559</x:v>
      </x:c>
      <x:c r="H299" s="14" t="str">
        <x:v>N07；N10；O03；O06</x:v>
      </x:c>
      <x:c r="I299" s="14" t="str">
        <x:v>Riccardo Omenti; Monica Alexander; Nicola Barban</x:v>
      </x:c>
      <x:c r="J299" s="18" t="n">
        <x:v>2026</x:v>
      </x:c>
      <x:c r="K299" s="14" t="str">
        <x:v>研究文献</x:v>
      </x:c>
      <x:c r="L299" s="14" t="str">
        <x:v>优先</x:v>
      </x:c>
      <x:c r="M299" s="14" t="str">
        <x:v>未取得全文；页面响应不能证明全文权限。</x:v>
      </x:c>
      <x:c r="N299" s="14" t="str">
        <x:v>从 DOI 或出版社页查看全文；也可使用学校图书馆或作者公开版本。</x:v>
      </x:c>
      <x:c r="O299" s="14" t="str">
        <x:v>把在线族谱和外部人口信息结合起来进行贝叶斯间接生育估计。</x:v>
      </x:c>
      <x:c r="P299" s="14" t="str">
        <x:v>10.1177/00491241261463559</x:v>
      </x:c>
      <x:c r="Q299" s="14" t="str"/>
      <x:c r="R299" s="17"/>
      <x:c r="S299" s="14" t="str"/>
      <x:c r="T299" s="14" t="str"/>
      <x:c r="U299" s="19" t="n">
        <x:v>46303</x:v>
      </x:c>
    </x:row>
    <x:row r="300" ht="68" customHeight="1">
      <x:c r="A300" s="14" t="str">
        <x:v>D-20FD4F85</x:v>
      </x:c>
      <x:c r="B300" s="14" t="str">
        <x:v>需人工获取</x:v>
      </x:c>
      <x:c r="C300" s="14" t="str">
        <x:v>Estimating and Correcting Degree Ratio Bias in the Network Scale-up Method</x:v>
      </x:c>
      <x:c r="D300" s="14" t="str">
        <x:v>英文</x:v>
      </x:c>
      <x:c r="E300" s="15" t="str">
        <x:v>未处理</x:v>
      </x:c>
      <x:c r="F300" s="15" t="str"/>
      <x:c r="G300" s="16" t="str">
        <x:v>https://doi.org/10.1177/00491241251364233</x:v>
      </x:c>
      <x:c r="H300" s="14" t="str">
        <x:v>N07；N10；O03；O06</x:v>
      </x:c>
      <x:c r="I300" s="14" t="str">
        <x:v>Ian Laga; Jessica P. Kunke; Tyler H. McCormick; Xiaoyue Niu</x:v>
      </x:c>
      <x:c r="J300" s="18" t="n">
        <x:v>2026</x:v>
      </x:c>
      <x:c r="K300" s="14" t="str">
        <x:v>研究文献</x:v>
      </x:c>
      <x:c r="L300" s="14" t="str">
        <x:v>优先</x:v>
      </x:c>
      <x:c r="M300" s="14" t="str">
        <x:v>未取得全文；页面响应不能证明全文权限。</x:v>
      </x:c>
      <x:c r="N300" s="14" t="str">
        <x:v>从 DOI 或出版社页查看全文；也可使用学校图书馆或作者公开版本。</x:v>
      </x:c>
      <x:c r="O300" s="14" t="str">
        <x:v>网络规模推算法的度数比偏差及其估计与校正。</x:v>
      </x:c>
      <x:c r="P300" s="14" t="str">
        <x:v>10.1177/00491241251364233</x:v>
      </x:c>
      <x:c r="Q300" s="14" t="str"/>
      <x:c r="R300" s="17"/>
      <x:c r="S300" s="14" t="str"/>
      <x:c r="T300" s="14" t="str"/>
      <x:c r="U300" s="19" t="n">
        <x:v>46303</x:v>
      </x:c>
    </x:row>
    <x:row r="301" ht="68" customHeight="1">
      <x:c r="A301" s="14" t="str">
        <x:v>D-CDB023A7</x:v>
      </x:c>
      <x:c r="B301" s="14" t="str">
        <x:v>需人工获取</x:v>
      </x:c>
      <x:c r="C301" s="14" t="str">
        <x:v>Prediction-Based Adaptive Designs for Reducing Wave Nonresponse Rates and Bias in Panel Surveys</x:v>
      </x:c>
      <x:c r="D301" s="14" t="str">
        <x:v>英文</x:v>
      </x:c>
      <x:c r="E301" s="15" t="str">
        <x:v>未处理</x:v>
      </x:c>
      <x:c r="F301" s="15" t="str"/>
      <x:c r="G301" s="16" t="str">
        <x:v>https://doi.org/10.1177/00491241261492217</x:v>
      </x:c>
      <x:c r="H301" s="14" t="str">
        <x:v>N07；N10；O03；O06</x:v>
      </x:c>
      <x:c r="I301" s="14" t="str">
        <x:v>John Collins; Saskia Bartholomäus; Tobias Gummer; Bernd Weiß; Christoph Kern</x:v>
      </x:c>
      <x:c r="J301" s="18" t="n">
        <x:v>2026</x:v>
      </x:c>
      <x:c r="K301" s="14" t="str">
        <x:v>研究文献</x:v>
      </x:c>
      <x:c r="L301" s="14" t="str">
        <x:v>优先</x:v>
      </x:c>
      <x:c r="M301" s="14" t="str">
        <x:v>未取得全文；页面响应不能证明全文权限。</x:v>
      </x:c>
      <x:c r="N301" s="14" t="str">
        <x:v>从 DOI 或出版社页查看全文；也可使用学校图书馆或作者公开版本。</x:v>
      </x:c>
      <x:c r="O301" s="14" t="str">
        <x:v>把响应预测、面板调查干预与代表性指标结合起来。</x:v>
      </x:c>
      <x:c r="P301" s="14" t="str">
        <x:v>10.1177/00491241261492217</x:v>
      </x:c>
      <x:c r="Q301" s="14" t="str"/>
      <x:c r="R301" s="17"/>
      <x:c r="S301" s="14" t="str"/>
      <x:c r="T301" s="14" t="str"/>
      <x:c r="U301" s="19" t="n">
        <x:v>46303</x:v>
      </x:c>
    </x:row>
    <x:row r="302" ht="68" customHeight="1">
      <x:c r="A302" s="14" t="str">
        <x:v>D-A953E7E7</x:v>
      </x:c>
      <x:c r="B302" s="14" t="str">
        <x:v>需人工获取</x:v>
      </x:c>
      <x:c r="C302" s="14" t="str">
        <x:v>Two-sample Age-period-cohort Models</x:v>
      </x:c>
      <x:c r="D302" s="14" t="str">
        <x:v>英文</x:v>
      </x:c>
      <x:c r="E302" s="15" t="str">
        <x:v>未处理</x:v>
      </x:c>
      <x:c r="F302" s="15" t="str"/>
      <x:c r="G302" s="16" t="str">
        <x:v>https://doi.org/10.1177/00491241251376509</x:v>
      </x:c>
      <x:c r="H302" s="14" t="str">
        <x:v>N07；N10；O03；O06</x:v>
      </x:c>
      <x:c r="I302" s="14" t="str">
        <x:v>Bent Nielsen</x:v>
      </x:c>
      <x:c r="J302" s="18" t="n">
        <x:v>2026</x:v>
      </x:c>
      <x:c r="K302" s="14" t="str">
        <x:v>研究文献</x:v>
      </x:c>
      <x:c r="L302" s="14" t="str">
        <x:v>优先</x:v>
      </x:c>
      <x:c r="M302" s="14" t="str">
        <x:v>未取得全文；页面响应不能证明全文权限。</x:v>
      </x:c>
      <x:c r="N302" s="14" t="str">
        <x:v>从 DOI 或出版社页查看全文；也可使用学校图书馆或作者公开版本。</x:v>
      </x:c>
      <x:c r="O302" s="14" t="str">
        <x:v>两样本 APC 模型；用新设计讨论识别，而非宣称消除年龄—时期—队列恒等式。</x:v>
      </x:c>
      <x:c r="P302" s="14" t="str">
        <x:v>10.1177/00491241251376509</x:v>
      </x:c>
      <x:c r="Q302" s="14" t="str"/>
      <x:c r="R302" s="17"/>
      <x:c r="S302" s="14" t="str"/>
      <x:c r="T302" s="14" t="str"/>
      <x:c r="U302" s="19" t="n">
        <x:v>46303</x:v>
      </x:c>
    </x:row>
    <x:row r="303" ht="68" customHeight="1">
      <x:c r="A303" s="14" t="str">
        <x:v>D-84F579AF</x:v>
      </x:c>
      <x:c r="B303" s="14" t="str">
        <x:v>需人工获取</x:v>
      </x:c>
      <x:c r="C303" s="14" t="str">
        <x:v>Identifying and modeling careless and insufficient effort responding in continuous rating scale: A response-time-based mixture model.</x:v>
      </x:c>
      <x:c r="D303" s="14" t="str">
        <x:v>英文</x:v>
      </x:c>
      <x:c r="E303" s="15" t="str">
        <x:v>未处理</x:v>
      </x:c>
      <x:c r="F303" s="15" t="str"/>
      <x:c r="G303" s="16" t="str">
        <x:v>https://doi.org/10.1037/met0000869</x:v>
      </x:c>
      <x:c r="H303" s="14" t="str">
        <x:v>N08</x:v>
      </x:c>
      <x:c r="I303" s="14" t="str">
        <x:v>Youxiang Jiang; Chongqin Xi; Hongbo Wen</x:v>
      </x:c>
      <x:c r="J303" s="18" t="n">
        <x:v>2026</x:v>
      </x:c>
      <x:c r="K303" s="14" t="str">
        <x:v>研究文献</x:v>
      </x:c>
      <x:c r="L303" s="14" t="str">
        <x:v>优先</x:v>
      </x:c>
      <x:c r="M303" s="14" t="str">
        <x:v>未取得全文；页面响应不能证明全文权限。</x:v>
      </x:c>
      <x:c r="N303" s="14" t="str">
        <x:v>从 DOI 或出版社页查看全文；也可使用学校图书馆或作者公开版本。</x:v>
      </x:c>
      <x:c r="O303" s="14" t="str">
        <x:v>把连续评分与反应时一起用于作答努力混合模型。</x:v>
      </x:c>
      <x:c r="P303" s="14" t="str">
        <x:v>10.1037/met0000869</x:v>
      </x:c>
      <x:c r="Q303" s="14" t="str"/>
      <x:c r="R303" s="17"/>
      <x:c r="S303" s="14" t="str"/>
      <x:c r="T303" s="14" t="str"/>
      <x:c r="U303" s="19" t="n">
        <x:v>46303</x:v>
      </x:c>
    </x:row>
    <x:row r="304" ht="68" customHeight="1">
      <x:c r="A304" s="14" t="str">
        <x:v>D-EF202E85</x:v>
      </x:c>
      <x:c r="B304" s="14" t="str">
        <x:v>需人工获取</x:v>
      </x:c>
      <x:c r="C304" s="14" t="str">
        <x:v>Columnwise neural imputation for incomplete ordinal psychometric data.</x:v>
      </x:c>
      <x:c r="D304" s="14" t="str">
        <x:v>英文</x:v>
      </x:c>
      <x:c r="E304" s="15" t="str">
        <x:v>未处理</x:v>
      </x:c>
      <x:c r="F304" s="15" t="str"/>
      <x:c r="G304" s="16" t="str">
        <x:v>https://doi.org/10.1037/met0000867</x:v>
      </x:c>
      <x:c r="H304" s="14" t="str">
        <x:v>N09</x:v>
      </x:c>
      <x:c r="I304" s="14" t="str">
        <x:v>Longfei Zhang; Minjeong Jeon; Ping Chen</x:v>
      </x:c>
      <x:c r="J304" s="18" t="n">
        <x:v>2026</x:v>
      </x:c>
      <x:c r="K304" s="14" t="str">
        <x:v>研究文献</x:v>
      </x:c>
      <x:c r="L304" s="14" t="str">
        <x:v>优先</x:v>
      </x:c>
      <x:c r="M304" s="14" t="str">
        <x:v>未取得全文；页面响应不能证明全文权限。</x:v>
      </x:c>
      <x:c r="N304" s="14" t="str">
        <x:v>从 DOI 或出版社页查看全文；也可使用学校图书馆或作者公开版本。</x:v>
      </x:c>
      <x:c r="O304" s="14" t="str">
        <x:v>面向顺序心理测量数据的逐列神经网络插补。</x:v>
      </x:c>
      <x:c r="P304" s="14" t="str">
        <x:v>10.1037/met0000867</x:v>
      </x:c>
      <x:c r="Q304" s="14" t="str"/>
      <x:c r="R304" s="17"/>
      <x:c r="S304" s="14" t="str"/>
      <x:c r="T304" s="14" t="str"/>
      <x:c r="U304" s="19" t="n">
        <x:v>46303</x:v>
      </x:c>
    </x:row>
    <x:row r="305" ht="68" customHeight="1">
      <x:c r="A305" s="14" t="str">
        <x:v>D-3558EA37</x:v>
      </x:c>
      <x:c r="B305" s="14" t="str">
        <x:v>需人工获取</x:v>
      </x:c>
      <x:c r="C305" s="14" t="str">
        <x:v>Wage Discrimination: Reduced Form and Structural Estimates</x:v>
      </x:c>
      <x:c r="D305" s="14" t="str">
        <x:v>英文</x:v>
      </x:c>
      <x:c r="E305" s="15" t="str">
        <x:v>未处理</x:v>
      </x:c>
      <x:c r="F305" s="15" t="str"/>
      <x:c r="G305" s="16" t="str">
        <x:v>https://doi.org/10.2307/144855</x:v>
      </x:c>
      <x:c r="H305" s="14" t="str">
        <x:v>O05</x:v>
      </x:c>
      <x:c r="I305" s="14" t="str">
        <x:v>Alan S. Blinder</x:v>
      </x:c>
      <x:c r="J305" s="18" t="n">
        <x:v>1973</x:v>
      </x:c>
      <x:c r="K305" s="14" t="str">
        <x:v>研究文献</x:v>
      </x:c>
      <x:c r="L305" s="14" t="str">
        <x:v>优先</x:v>
      </x:c>
      <x:c r="M305" s="14" t="str">
        <x:v>未取得全文；页面响应不能证明全文权限。</x:v>
      </x:c>
      <x:c r="N305" s="14" t="str">
        <x:v>从 DOI 或出版社页查看全文；也可使用学校图书馆或作者公开版本。</x:v>
      </x:c>
      <x:c r="O305" s="14" t="str">
        <x:v>与 Oaxaca 同年的工资分解传统原文；两个独立发展节点并列。</x:v>
      </x:c>
      <x:c r="P305" s="14" t="str">
        <x:v>10.2307/144855</x:v>
      </x:c>
      <x:c r="Q305" s="14" t="str"/>
      <x:c r="R305" s="17"/>
      <x:c r="S305" s="14" t="str"/>
      <x:c r="T305" s="14" t="str"/>
      <x:c r="U305" s="19" t="n">
        <x:v>46303</x:v>
      </x:c>
    </x:row>
    <x:row r="306" ht="68" customHeight="1">
      <x:c r="A306" s="14" t="str">
        <x:v>D-58FAC1E2</x:v>
      </x:c>
      <x:c r="B306" s="14" t="str">
        <x:v>需人工获取</x:v>
      </x:c>
      <x:c r="C306" s="14" t="str">
        <x:v>A Meta-Analytic Test of Intergroup Contact Theory</x:v>
      </x:c>
      <x:c r="D306" s="14" t="str">
        <x:v>英文</x:v>
      </x:c>
      <x:c r="E306" s="15" t="str">
        <x:v>未处理</x:v>
      </x:c>
      <x:c r="F306" s="15" t="str"/>
      <x:c r="G306" s="16" t="str">
        <x:v>https://doi.org/10.1037/0022-3514.90.5.751</x:v>
      </x:c>
      <x:c r="H306" s="14" t="str"/>
      <x:c r="I306" s="14" t="str">
        <x:v>Pettigrew; Tropp</x:v>
      </x:c>
      <x:c r="J306" s="18" t="n">
        <x:v>2006</x:v>
      </x:c>
      <x:c r="K306" s="14" t="str">
        <x:v>文献</x:v>
      </x:c>
      <x:c r="L306" s="14" t="str">
        <x:v>选读</x:v>
      </x:c>
      <x:c r="M306" s="14" t="str">
        <x:v>未取得全文；页面响应不能证明全文权限。</x:v>
      </x:c>
      <x:c r="N306" s="14" t="str">
        <x:v>从 DOI 或出版社页查看全文；也可使用学校图书馆或作者公开版本。</x:v>
      </x:c>
      <x:c r="O306" s="14" t="str">
        <x:v>跨群体接触研究的证据综合。</x:v>
      </x:c>
      <x:c r="P306" s="14" t="str">
        <x:v>10.1037/0022-3514.90.5.751</x:v>
      </x:c>
      <x:c r="Q306" s="14" t="str"/>
      <x:c r="R306" s="17"/>
      <x:c r="S306" s="14" t="str"/>
      <x:c r="T306" s="14" t="str"/>
      <x:c r="U306" s="19" t="n">
        <x:v>46303</x:v>
      </x:c>
    </x:row>
    <x:row r="307" ht="68" customHeight="1">
      <x:c r="A307" s="14" t="str">
        <x:v>D-3019BE53</x:v>
      </x:c>
      <x:c r="B307" s="14" t="str">
        <x:v>需人工获取</x:v>
      </x:c>
      <x:c r="C307" s="14" t="str">
        <x:v>Estimating the reproducibility of psychological science</x:v>
      </x:c>
      <x:c r="D307" s="14" t="str">
        <x:v>英文</x:v>
      </x:c>
      <x:c r="E307" s="15" t="str">
        <x:v>未处理</x:v>
      </x:c>
      <x:c r="F307" s="15" t="str"/>
      <x:c r="G307" s="16" t="str">
        <x:v>https://doi.org/10.1126/science.aac4716</x:v>
      </x:c>
      <x:c r="H307" s="14" t="str"/>
      <x:c r="I307" s="14" t="str">
        <x:v>Open Science Collaboration</x:v>
      </x:c>
      <x:c r="J307" s="18" t="n">
        <x:v>2015</x:v>
      </x:c>
      <x:c r="K307" s="14" t="str">
        <x:v>文献</x:v>
      </x:c>
      <x:c r="L307" s="14" t="str">
        <x:v>选读</x:v>
      </x:c>
      <x:c r="M307" s="14" t="str">
        <x:v>未取得全文；页面响应不能证明全文权限。</x:v>
      </x:c>
      <x:c r="N307" s="14" t="str">
        <x:v>从 DOI 或出版社页查看全文；也可使用学校图书馆或作者公开版本。</x:v>
      </x:c>
      <x:c r="O307" s="14" t="str">
        <x:v>复现协作的标志性研究；不外推为所有社会科学的复现率。</x:v>
      </x:c>
      <x:c r="P307" s="14" t="str">
        <x:v>10.1126/science.aac4716</x:v>
      </x:c>
      <x:c r="Q307" s="14" t="str"/>
      <x:c r="R307" s="17"/>
      <x:c r="S307" s="14" t="str"/>
      <x:c r="T307" s="14" t="str"/>
      <x:c r="U307" s="19" t="n">
        <x:v>46303</x:v>
      </x:c>
    </x:row>
    <x:row r="308" ht="68" customHeight="1">
      <x:c r="A308" s="14" t="str">
        <x:v>D-ECA0AF5E</x:v>
      </x:c>
      <x:c r="B308" s="14" t="str">
        <x:v>需人工获取</x:v>
      </x:c>
      <x:c r="C308" s="14" t="str">
        <x:v>How Censorship in China Allows Government Criticism but Silences Collective Expression</x:v>
      </x:c>
      <x:c r="D308" s="14" t="str">
        <x:v>英文</x:v>
      </x:c>
      <x:c r="E308" s="15" t="str">
        <x:v>未处理</x:v>
      </x:c>
      <x:c r="F308" s="15" t="str"/>
      <x:c r="G308" s="16" t="str">
        <x:v>https://doi.org/10.1017/S0003055413000014</x:v>
      </x:c>
      <x:c r="H308" s="14" t="str"/>
      <x:c r="I308" s="14" t="str">
        <x:v>King; Pan; Roberts</x:v>
      </x:c>
      <x:c r="J308" s="18" t="n">
        <x:v>2013</x:v>
      </x:c>
      <x:c r="K308" s="14" t="str">
        <x:v>文献</x:v>
      </x:c>
      <x:c r="L308" s="14" t="str">
        <x:v>选读</x:v>
      </x:c>
      <x:c r="M308" s="14" t="str">
        <x:v>未取得全文；页面响应不能证明全文权限。</x:v>
      </x:c>
      <x:c r="N308" s="14" t="str">
        <x:v>从 DOI 或出版社页查看全文；也可使用学校图书馆或作者公开版本。</x:v>
      </x:c>
      <x:c r="O308" s="14" t="str">
        <x:v>中国网络文本与人工验证结合的研究案例；测量与因果解释分开。</x:v>
      </x:c>
      <x:c r="P308" s="14" t="str">
        <x:v>10.1017/S0003055413000014</x:v>
      </x:c>
      <x:c r="Q308" s="14" t="str"/>
      <x:c r="R308" s="17"/>
      <x:c r="S308" s="14" t="str"/>
      <x:c r="T308" s="14" t="str"/>
      <x:c r="U308" s="19" t="n">
        <x:v>46303</x:v>
      </x:c>
    </x:row>
    <x:row r="309" ht="68" customHeight="1">
      <x:c r="A309" s="14" t="str">
        <x:v>D-4C7C2D35</x:v>
      </x:c>
      <x:c r="B309" s="14" t="str">
        <x:v>需人工获取</x:v>
      </x:c>
      <x:c r="C309" s="14" t="str">
        <x:v>Measuring the predictability of life outcomes with a scientific mass collaboration</x:v>
      </x:c>
      <x:c r="D309" s="14" t="str">
        <x:v>英文</x:v>
      </x:c>
      <x:c r="E309" s="15" t="str">
        <x:v>未处理</x:v>
      </x:c>
      <x:c r="F309" s="15" t="str"/>
      <x:c r="G309" s="16" t="str">
        <x:v>https://doi.org/10.1073/pnas.1915006117</x:v>
      </x:c>
      <x:c r="H309" s="14" t="str"/>
      <x:c r="I309" s="14" t="str">
        <x:v>Salganik</x:v>
      </x:c>
      <x:c r="J309" s="18" t="n">
        <x:v>2020</x:v>
      </x:c>
      <x:c r="K309" s="14" t="str">
        <x:v>文献</x:v>
      </x:c>
      <x:c r="L309" s="14" t="str">
        <x:v>选读</x:v>
      </x:c>
      <x:c r="M309" s="14" t="str">
        <x:v>未取得全文；页面响应不能证明全文权限。</x:v>
      </x:c>
      <x:c r="N309" s="14" t="str">
        <x:v>从 DOI 或出版社页查看全文；也可使用学校图书馆或作者公开版本。</x:v>
      </x:c>
      <x:c r="O309" s="14" t="str">
        <x:v>真实预测案例；严格区分该数据任务的上限与人类行为的普遍不可预测。</x:v>
      </x:c>
      <x:c r="P309" s="14" t="str">
        <x:v>10.1073/pnas.1915006117</x:v>
      </x:c>
      <x:c r="Q309" s="14" t="str"/>
      <x:c r="R309" s="17"/>
      <x:c r="S309" s="14" t="str"/>
      <x:c r="T309" s="14" t="str"/>
      <x:c r="U309" s="19" t="n">
        <x:v>46303</x:v>
      </x:c>
    </x:row>
    <x:row r="310" ht="68" customHeight="1">
      <x:c r="A310" s="14" t="str">
        <x:v>D-2CFB61BD</x:v>
      </x:c>
      <x:c r="B310" s="14" t="str">
        <x:v>需人工获取</x:v>
      </x:c>
      <x:c r="C310" s="14" t="str">
        <x:v>The generalizability crisis</x:v>
      </x:c>
      <x:c r="D310" s="14" t="str">
        <x:v>英文</x:v>
      </x:c>
      <x:c r="E310" s="15" t="str">
        <x:v>未处理</x:v>
      </x:c>
      <x:c r="F310" s="15" t="str"/>
      <x:c r="G310" s="16" t="str">
        <x:v>https://doi.org/10.1017/S0140525X20001685</x:v>
      </x:c>
      <x:c r="H310" s="14" t="str"/>
      <x:c r="I310" s="14" t="str">
        <x:v>Yarkoni</x:v>
      </x:c>
      <x:c r="J310" s="18" t="n">
        <x:v>2022</x:v>
      </x:c>
      <x:c r="K310" s="14" t="str">
        <x:v>文献</x:v>
      </x:c>
      <x:c r="L310" s="14" t="str">
        <x:v>选读</x:v>
      </x:c>
      <x:c r="M310" s="14" t="str">
        <x:v>未取得全文；页面响应不能证明全文权限。</x:v>
      </x:c>
      <x:c r="N310" s="14" t="str">
        <x:v>从 DOI 或出版社页查看全文；也可使用学校图书馆或作者公开版本。</x:v>
      </x:c>
      <x:c r="O310" s="14" t="str">
        <x:v>区分样本、刺激、场景与目标总体的外推。</x:v>
      </x:c>
      <x:c r="P310" s="14" t="str">
        <x:v>10.1017/S0140525X20001685</x:v>
      </x:c>
      <x:c r="Q310" s="14" t="str"/>
      <x:c r="R310" s="17"/>
      <x:c r="S310" s="14" t="str"/>
      <x:c r="T310" s="14" t="str"/>
      <x:c r="U310" s="19" t="n">
        <x:v>46303</x:v>
      </x:c>
    </x:row>
    <x:row r="311" ht="68" customHeight="1">
      <x:c r="A311" s="14" t="str">
        <x:v>D-7485390D</x:v>
      </x:c>
      <x:c r="B311" s="14" t="str">
        <x:v>需人工获取</x:v>
      </x:c>
      <x:c r="C311" s="14" t="str">
        <x:v>The Satisfaction With Life Scale</x:v>
      </x:c>
      <x:c r="D311" s="14" t="str">
        <x:v>英文</x:v>
      </x:c>
      <x:c r="E311" s="15" t="str">
        <x:v>未处理</x:v>
      </x:c>
      <x:c r="F311" s="15" t="str"/>
      <x:c r="G311" s="16" t="str">
        <x:v>https://doi.org/10.1207/s15327752jpa4901_13</x:v>
      </x:c>
      <x:c r="H311" s="14" t="str"/>
      <x:c r="I311" s="14" t="str">
        <x:v>Diener; Emmons; Larsen; Griffin</x:v>
      </x:c>
      <x:c r="J311" s="18" t="n">
        <x:v>1985</x:v>
      </x:c>
      <x:c r="K311" s="14" t="str">
        <x:v>文献</x:v>
      </x:c>
      <x:c r="L311" s="14" t="str">
        <x:v>选读</x:v>
      </x:c>
      <x:c r="M311" s="14" t="str">
        <x:v>未取得全文；页面响应不能证明全文权限。</x:v>
      </x:c>
      <x:c r="N311" s="14" t="str">
        <x:v>从 DOI 或出版社页查看全文；也可使用学校图书馆或作者公开版本。</x:v>
      </x:c>
      <x:c r="O311" s="14" t="str">
        <x:v>生活满意度量表的测量开发案例。</x:v>
      </x:c>
      <x:c r="P311" s="14" t="str">
        <x:v>10.1207/s15327752jpa4901_13</x:v>
      </x:c>
      <x:c r="Q311" s="14" t="str"/>
      <x:c r="R311" s="17"/>
      <x:c r="S311" s="14" t="str"/>
      <x:c r="T311" s="14" t="str"/>
      <x:c r="U311" s="19" t="n">
        <x:v>46303</x:v>
      </x:c>
    </x:row>
    <x:row r="312" ht="68" customHeight="1">
      <x:c r="A312" s="14" t="str">
        <x:v>D-63CF7F58</x:v>
      </x:c>
      <x:c r="B312" s="14" t="str">
        <x:v>需人工获取</x:v>
      </x:c>
      <x:c r="C312" s="14" t="str">
        <x:v>Ecological Correlations and the Behavior of Individuals</x:v>
      </x:c>
      <x:c r="D312" s="14" t="str">
        <x:v>英文</x:v>
      </x:c>
      <x:c r="E312" s="15" t="str">
        <x:v>未处理</x:v>
      </x:c>
      <x:c r="F312" s="15" t="str"/>
      <x:c r="G312" s="16" t="str">
        <x:v>https://doi.org/10.2307/2087176</x:v>
      </x:c>
      <x:c r="H312" s="14" t="str">
        <x:v>A01</x:v>
      </x:c>
      <x:c r="I312" s="14" t="str">
        <x:v>Robinson</x:v>
      </x:c>
      <x:c r="J312" s="18" t="n">
        <x:v>1950</x:v>
      </x:c>
      <x:c r="K312" s="14" t="str">
        <x:v>文献</x:v>
      </x:c>
      <x:c r="L312" s="14" t="str">
        <x:v>选读</x:v>
      </x:c>
      <x:c r="M312" s="14" t="str">
        <x:v>未取得全文；页面响应不能证明全文权限。</x:v>
      </x:c>
      <x:c r="N312" s="14" t="str">
        <x:v>从 DOI 或出版社页查看全文；也可使用学校图书馆或作者公开版本。</x:v>
      </x:c>
      <x:c r="O312" s="14" t="str">
        <x:v>群体相关不能直接推出个体关系：宏观统计传统的边界。</x:v>
      </x:c>
      <x:c r="P312" s="14" t="str">
        <x:v>10.2307/2087176</x:v>
      </x:c>
      <x:c r="Q312" s="14" t="str"/>
      <x:c r="R312" s="17"/>
      <x:c r="S312" s="14" t="str"/>
      <x:c r="T312" s="14" t="str"/>
      <x:c r="U312" s="19" t="n">
        <x:v>46303</x:v>
      </x:c>
    </x:row>
    <x:row r="313" ht="68" customHeight="1">
      <x:c r="A313" s="14" t="str">
        <x:v>D-9311C8AD</x:v>
      </x:c>
      <x:c r="B313" s="14" t="str">
        <x:v>需人工获取</x:v>
      </x:c>
      <x:c r="C313" s="14" t="str">
        <x:v>Graphs in statistical analysis</x:v>
      </x:c>
      <x:c r="D313" s="14" t="str">
        <x:v>英文</x:v>
      </x:c>
      <x:c r="E313" s="15" t="str">
        <x:v>未处理</x:v>
      </x:c>
      <x:c r="F313" s="15" t="str"/>
      <x:c r="G313" s="16" t="str">
        <x:v>https://doi.org/10.1080/00031305.1973.10478966</x:v>
      </x:c>
      <x:c r="H313" s="14" t="str">
        <x:v>A01；D01</x:v>
      </x:c>
      <x:c r="I313" s="14" t="str">
        <x:v>Anscombe, F. J.</x:v>
      </x:c>
      <x:c r="J313" s="18" t="n">
        <x:v>1973</x:v>
      </x:c>
      <x:c r="K313" s="14" t="str">
        <x:v>研究文献</x:v>
      </x:c>
      <x:c r="L313" s="14" t="str">
        <x:v>选读</x:v>
      </x:c>
      <x:c r="M313" s="14" t="str">
        <x:v>未取得全文；页面响应不能证明全文权限。</x:v>
      </x:c>
      <x:c r="N313" s="14" t="str">
        <x:v>从 DOI 或出版社页查看全文；也可使用学校图书馆或作者公开版本。</x:v>
      </x:c>
      <x:c r="O313" s="14" t="str">
        <x:v>Anscombe 四重奏：四组数据的均值、方差、相关、回归线全部相同，图形却完全不同。一页纸讲清「必须画图」</x:v>
      </x:c>
      <x:c r="P313" s="14" t="str">
        <x:v>10.1080/00031305.1973.10478966</x:v>
      </x:c>
      <x:c r="Q313" s="14" t="str"/>
      <x:c r="R313" s="17"/>
      <x:c r="S313" s="14" t="str"/>
      <x:c r="T313" s="14" t="str"/>
      <x:c r="U313" s="19" t="n">
        <x:v>46303</x:v>
      </x:c>
    </x:row>
    <x:row r="314" ht="68" customHeight="1">
      <x:c r="A314" s="14" t="str">
        <x:v>D-B6516727</x:v>
      </x:c>
      <x:c r="B314" s="14" t="str">
        <x:v>需人工获取</x:v>
      </x:c>
      <x:c r="C314" s="14" t="str">
        <x:v>Regression Towards Mediocrity in Hereditary Stature</x:v>
      </x:c>
      <x:c r="D314" s="14" t="str">
        <x:v>英文</x:v>
      </x:c>
      <x:c r="E314" s="15" t="str">
        <x:v>未处理</x:v>
      </x:c>
      <x:c r="F314" s="15" t="str"/>
      <x:c r="G314" s="16" t="str">
        <x:v>https://doi.org/10.2307/2841583</x:v>
      </x:c>
      <x:c r="H314" s="14" t="str">
        <x:v>A01；D02</x:v>
      </x:c>
      <x:c r="I314" s="14" t="str">
        <x:v>Galton</x:v>
      </x:c>
      <x:c r="J314" s="18" t="n">
        <x:v>1886</x:v>
      </x:c>
      <x:c r="K314" s="14" t="str">
        <x:v>文献</x:v>
      </x:c>
      <x:c r="L314" s="14" t="str">
        <x:v>选读</x:v>
      </x:c>
      <x:c r="M314" s="14" t="str">
        <x:v>未取得全文；页面响应不能证明全文权限。</x:v>
      </x:c>
      <x:c r="N314" s="14" t="str">
        <x:v>从 DOI 或出版社页查看全文；也可使用学校图书馆或作者公开版本。</x:v>
      </x:c>
      <x:c r="O314" s="14" t="str">
        <x:v>回归概念史的原始文献节点；最小二乘、相关与回归各有发展线索。阅读时须区分技术贡献与其历史价值背景。</x:v>
      </x:c>
      <x:c r="P314" s="14" t="str">
        <x:v>10.2307/2841583</x:v>
      </x:c>
      <x:c r="Q314" s="14" t="str"/>
      <x:c r="R314" s="17"/>
      <x:c r="S314" s="14" t="str"/>
      <x:c r="T314" s="14" t="str"/>
      <x:c r="U314" s="19" t="n">
        <x:v>46303</x:v>
      </x:c>
    </x:row>
    <x:row r="315" ht="68" customHeight="1">
      <x:c r="A315" s="14" t="str">
        <x:v>D-A1017EC8</x:v>
      </x:c>
      <x:c r="B315" s="14" t="str">
        <x:v>需人工获取</x:v>
      </x:c>
      <x:c r="C315" s="14" t="str">
        <x:v>The Rise of Statistical Thinking, 1820–1900</x:v>
      </x:c>
      <x:c r="D315" s="14" t="str">
        <x:v>英文</x:v>
      </x:c>
      <x:c r="E315" s="15" t="str">
        <x:v>未处理</x:v>
      </x:c>
      <x:c r="F315" s="15" t="str"/>
      <x:c r="G315" s="16" t="str">
        <x:v>https://doi.org/10.1515/9780691210520</x:v>
      </x:c>
      <x:c r="H315" s="14" t="str">
        <x:v>A01；D02；M01</x:v>
      </x:c>
      <x:c r="I315" s="14" t="str">
        <x:v>Porter</x:v>
      </x:c>
      <x:c r="J315" s="18" t="n">
        <x:v>2020</x:v>
      </x:c>
      <x:c r="K315" s="14" t="str">
        <x:v>文献</x:v>
      </x:c>
      <x:c r="L315" s="14" t="str">
        <x:v>选读</x:v>
      </x:c>
      <x:c r="M315" s="14" t="str">
        <x:v>未取得全文；页面响应不能证明全文权限。</x:v>
      </x:c>
      <x:c r="N315" s="14" t="str">
        <x:v>从 DOI 或出版社页查看全文；也可使用学校图书馆或作者公开版本。</x:v>
      </x:c>
      <x:c r="O315" s="14" t="str">
        <x:v>统计思想史专著，初版 1986，本条链接 2020 年再版。用于理解社会统计与数学、物理及生物统计传统怎样相互影响；不是当代方法使用率调查。</x:v>
      </x:c>
      <x:c r="P315" s="14" t="str">
        <x:v>10.1515/9780691210520</x:v>
      </x:c>
      <x:c r="Q315" s="14" t="str"/>
      <x:c r="R315" s="17"/>
      <x:c r="S315" s="14" t="str"/>
      <x:c r="T315" s="14" t="str"/>
      <x:c r="U315" s="19" t="n">
        <x:v>46303</x:v>
      </x:c>
    </x:row>
    <x:row r="316" ht="68" customHeight="1">
      <x:c r="A316" s="14" t="str">
        <x:v>D-8E9DF023</x:v>
      </x:c>
      <x:c r="B316" s="14" t="str">
        <x:v>需人工获取</x:v>
      </x:c>
      <x:c r="C316" s="14" t="str">
        <x:v>How not to lie with statistics: Avoiding common mistakes in quantitative political science</x:v>
      </x:c>
      <x:c r="D316" s="14" t="str">
        <x:v>英文</x:v>
      </x:c>
      <x:c r="E316" s="15" t="str">
        <x:v>未处理</x:v>
      </x:c>
      <x:c r="F316" s="15" t="str"/>
      <x:c r="G316" s="16" t="str">
        <x:v>https://doi.org/10.2307/2111095</x:v>
      </x:c>
      <x:c r="H316" s="14" t="str">
        <x:v>A02</x:v>
      </x:c>
      <x:c r="I316" s="14" t="str">
        <x:v>King, G.</x:v>
      </x:c>
      <x:c r="J316" s="18" t="n">
        <x:v>1986</x:v>
      </x:c>
      <x:c r="K316" s="14" t="str">
        <x:v>研究文献</x:v>
      </x:c>
      <x:c r="L316" s="14" t="str">
        <x:v>选读</x:v>
      </x:c>
      <x:c r="M316" s="14" t="str">
        <x:v>未取得全文；页面响应不能证明全文权限。</x:v>
      </x:c>
      <x:c r="N316" s="14" t="str">
        <x:v>从 DOI 或出版社页查看全文；也可使用学校图书馆或作者公开版本。</x:v>
      </x:c>
      <x:c r="O316" s="14" t="str">
        <x:v>**标准化系数跨样本比较为什么危险**——它依赖该样本的方差</x:v>
      </x:c>
      <x:c r="P316" s="14" t="str">
        <x:v>10.2307/2111095</x:v>
      </x:c>
      <x:c r="Q316" s="14" t="str"/>
      <x:c r="R316" s="17"/>
      <x:c r="S316" s="14" t="str"/>
      <x:c r="T316" s="14" t="str"/>
      <x:c r="U316" s="19" t="n">
        <x:v>46303</x:v>
      </x:c>
    </x:row>
    <x:row r="317" ht="68" customHeight="1">
      <x:c r="A317" s="14" t="str">
        <x:v>D-E5007667</x:v>
      </x:c>
      <x:c r="B317" s="14" t="str">
        <x:v>需人工获取</x:v>
      </x:c>
      <x:c r="C317" s="14" t="str">
        <x:v>Scientists rise up against statistical significance</x:v>
      </x:c>
      <x:c r="D317" s="14" t="str">
        <x:v>英文</x:v>
      </x:c>
      <x:c r="E317" s="15" t="str">
        <x:v>未处理</x:v>
      </x:c>
      <x:c r="F317" s="15" t="str"/>
      <x:c r="G317" s="16" t="str">
        <x:v>https://doi.org/10.1038/d41586-019-00857-9</x:v>
      </x:c>
      <x:c r="H317" s="14" t="str">
        <x:v>A03</x:v>
      </x:c>
      <x:c r="I317" s="14" t="str">
        <x:v>Amrhein, V., Greenland, S., &amp; McShane, B.</x:v>
      </x:c>
      <x:c r="J317" s="18" t="n">
        <x:v>2019</x:v>
      </x:c>
      <x:c r="K317" s="14" t="str">
        <x:v>研究文献</x:v>
      </x:c>
      <x:c r="L317" s="14" t="str">
        <x:v>选读</x:v>
      </x:c>
      <x:c r="M317" s="14" t="str">
        <x:v>未取得全文；页面响应不能证明全文权限。</x:v>
      </x:c>
      <x:c r="N317" s="14" t="str">
        <x:v>从 DOI 或出版社页查看全文；也可使用学校图书馆或作者公开版本。</x:v>
      </x:c>
      <x:c r="O317" s="14" t="str">
        <x:v>800 多位科学家联署，主张废除「统计显著」这个二元判断</x:v>
      </x:c>
      <x:c r="P317" s="14" t="str">
        <x:v>10.1038/d41586-019-00857-9</x:v>
      </x:c>
      <x:c r="Q317" s="14" t="str"/>
      <x:c r="R317" s="17"/>
      <x:c r="S317" s="14" t="str"/>
      <x:c r="T317" s="14" t="str"/>
      <x:c r="U317" s="19" t="n">
        <x:v>46303</x:v>
      </x:c>
    </x:row>
    <x:row r="318" ht="68" customHeight="1">
      <x:c r="A318" s="14" t="str">
        <x:v>D-9C02CB9C</x:v>
      </x:c>
      <x:c r="B318" s="14" t="str">
        <x:v>需人工获取</x:v>
      </x:c>
      <x:c r="C318" s="14" t="str">
        <x:v>The ASA statement on p-values: Context, process, and purpose</x:v>
      </x:c>
      <x:c r="D318" s="14" t="str">
        <x:v>英文</x:v>
      </x:c>
      <x:c r="E318" s="15" t="str">
        <x:v>未处理</x:v>
      </x:c>
      <x:c r="F318" s="15" t="str"/>
      <x:c r="G318" s="16" t="str">
        <x:v>https://doi.org/10.1080/00031305.2016.1154108</x:v>
      </x:c>
      <x:c r="H318" s="14" t="str">
        <x:v>A03</x:v>
      </x:c>
      <x:c r="I318" s="14" t="str">
        <x:v>Wasserstein, R. L., &amp; Lazar, N. A.</x:v>
      </x:c>
      <x:c r="J318" s="18" t="n">
        <x:v>2016</x:v>
      </x:c>
      <x:c r="K318" s="14" t="str">
        <x:v>研究文献</x:v>
      </x:c>
      <x:c r="L318" s="14" t="str">
        <x:v>选读</x:v>
      </x:c>
      <x:c r="M318" s="14" t="str">
        <x:v>未取得全文；页面响应不能证明全文权限。</x:v>
      </x:c>
      <x:c r="N318" s="14" t="str">
        <x:v>从 DOI 或出版社页查看全文；也可使用学校图书馆或作者公开版本。</x:v>
      </x:c>
      <x:c r="O318" s="14" t="str">
        <x:v>**美国统计学会官方声明**。六条原则，每条都在纠正一个流行误读。两页纸，必读</x:v>
      </x:c>
      <x:c r="P318" s="14" t="str">
        <x:v>10.1080/00031305.2016.1154108</x:v>
      </x:c>
      <x:c r="Q318" s="14" t="str"/>
      <x:c r="R318" s="17"/>
      <x:c r="S318" s="14" t="str"/>
      <x:c r="T318" s="14" t="str"/>
      <x:c r="U318" s="19" t="n">
        <x:v>46303</x:v>
      </x:c>
    </x:row>
    <x:row r="319" ht="68" customHeight="1">
      <x:c r="A319" s="14" t="str">
        <x:v>D-15D6C1EA</x:v>
      </x:c>
      <x:c r="B319" s="14" t="str">
        <x:v>需人工获取</x:v>
      </x:c>
      <x:c r="C319" s="14" t="str">
        <x:v>On the Two Different Aspects of the Representative Method: The Method of Stratified Sampling and the Method of Purposive Selection</x:v>
      </x:c>
      <x:c r="D319" s="14" t="str">
        <x:v>英文</x:v>
      </x:c>
      <x:c r="E319" s="15" t="str">
        <x:v>未处理</x:v>
      </x:c>
      <x:c r="F319" s="15" t="str"/>
      <x:c r="G319" s="16" t="str">
        <x:v>https://doi.org/10.2307/2342192</x:v>
      </x:c>
      <x:c r="H319" s="14" t="str">
        <x:v>A03；A04；C07；N05</x:v>
      </x:c>
      <x:c r="I319" s="14" t="str">
        <x:v>Neyman</x:v>
      </x:c>
      <x:c r="J319" s="18" t="n">
        <x:v>1934</x:v>
      </x:c>
      <x:c r="K319" s="14" t="str">
        <x:v>文献</x:v>
      </x:c>
      <x:c r="L319" s="14" t="str">
        <x:v>选读</x:v>
      </x:c>
      <x:c r="M319" s="14" t="str">
        <x:v>未取得全文；页面响应不能证明全文权限。</x:v>
      </x:c>
      <x:c r="N319" s="14" t="str">
        <x:v>从 DOI 或出版社页查看全文；也可使用学校图书馆或作者公开版本。</x:v>
      </x:c>
      <x:c r="O319" s="14" t="str">
        <x:v>概率抽样史：抽样设计与目的抽样的区分。</x:v>
      </x:c>
      <x:c r="P319" s="14" t="str">
        <x:v>10.2307/2342192</x:v>
      </x:c>
      <x:c r="Q319" s="14" t="str"/>
      <x:c r="R319" s="17"/>
      <x:c r="S319" s="14" t="str"/>
      <x:c r="T319" s="14" t="str"/>
      <x:c r="U319" s="19" t="n">
        <x:v>46303</x:v>
      </x:c>
    </x:row>
    <x:row r="320" ht="68" customHeight="1">
      <x:c r="A320" s="14" t="str">
        <x:v>D-4010DC1E</x:v>
      </x:c>
      <x:c r="B320" s="14" t="str">
        <x:v>需人工获取</x:v>
      </x:c>
      <x:c r="C320" s="14" t="str">
        <x:v>False-Positive Psychology</x:v>
      </x:c>
      <x:c r="D320" s="14" t="str">
        <x:v>英文</x:v>
      </x:c>
      <x:c r="E320" s="15" t="str">
        <x:v>未处理</x:v>
      </x:c>
      <x:c r="F320" s="15" t="str"/>
      <x:c r="G320" s="16" t="str">
        <x:v>https://doi.org/10.1177/0956797611417632</x:v>
      </x:c>
      <x:c r="H320" s="14" t="str">
        <x:v>A03；N03</x:v>
      </x:c>
      <x:c r="I320" s="14" t="str">
        <x:v>Simmons, J. P., Nelson, L. D., &amp; Simonsohn, U.</x:v>
      </x:c>
      <x:c r="J320" s="18" t="n">
        <x:v>2011</x:v>
      </x:c>
      <x:c r="K320" s="14" t="str">
        <x:v>研究文献</x:v>
      </x:c>
      <x:c r="L320" s="14" t="str">
        <x:v>选读</x:v>
      </x:c>
      <x:c r="M320" s="14" t="str">
        <x:v>未取得全文；页面响应不能证明全文权限。</x:v>
      </x:c>
      <x:c r="N320" s="14" t="str">
        <x:v>从 DOI 或出版社页查看全文；也可使用学校图书馆或作者公开版本。</x:v>
      </x:c>
      <x:c r="O320" s="14" t="str">
        <x:v>用模拟证明常规的研究者自由度能把假阳性率推到 60%。可重复性危机的起点</x:v>
      </x:c>
      <x:c r="P320" s="14" t="str">
        <x:v>10.1177/0956797611417632</x:v>
      </x:c>
      <x:c r="Q320" s="14" t="str"/>
      <x:c r="R320" s="17"/>
      <x:c r="S320" s="14" t="str"/>
      <x:c r="T320" s="14" t="str"/>
      <x:c r="U320" s="19" t="n">
        <x:v>46303</x:v>
      </x:c>
    </x:row>
    <x:row r="321" ht="68" customHeight="1">
      <x:c r="A321" s="14" t="str">
        <x:v>D-D4FF8284</x:v>
      </x:c>
      <x:c r="B321" s="14" t="str">
        <x:v>需人工获取</x:v>
      </x:c>
      <x:c r="C321" s="14" t="str">
        <x:v>The fallacy of placing confidence in confidence intervals</x:v>
      </x:c>
      <x:c r="D321" s="14" t="str">
        <x:v>英文</x:v>
      </x:c>
      <x:c r="E321" s="15" t="str">
        <x:v>未处理</x:v>
      </x:c>
      <x:c r="F321" s="15" t="str"/>
      <x:c r="G321" s="16" t="str">
        <x:v>https://doi.org/10.3758/s13423-015-0947-8</x:v>
      </x:c>
      <x:c r="H321" s="14" t="str">
        <x:v>A04</x:v>
      </x:c>
      <x:c r="I321" s="14" t="str">
        <x:v>Morey, R. D., Hoekstra, R., Rouder, J. N., Lee, M. D., &amp; Wagenmakers, E.-J.</x:v>
      </x:c>
      <x:c r="J321" s="18" t="n">
        <x:v>2016</x:v>
      </x:c>
      <x:c r="K321" s="14" t="str">
        <x:v>研究文献</x:v>
      </x:c>
      <x:c r="L321" s="14" t="str">
        <x:v>选读</x:v>
      </x:c>
      <x:c r="M321" s="14" t="str">
        <x:v>未取得全文；页面响应不能证明全文权限。</x:v>
      </x:c>
      <x:c r="N321" s="14" t="str">
        <x:v>从 DOI 或出版社页查看全文；也可使用学校图书馆或作者公开版本。</x:v>
      </x:c>
      <x:c r="O321" s="14" t="str">
        <x:v>**「真值有 95% 概率落在此区间」为什么是错的**。读完才算真懂置信区间</x:v>
      </x:c>
      <x:c r="P321" s="14" t="str">
        <x:v>10.3758/s13423-015-0947-8</x:v>
      </x:c>
      <x:c r="Q321" s="14" t="str"/>
      <x:c r="R321" s="17"/>
      <x:c r="S321" s="14" t="str"/>
      <x:c r="T321" s="14" t="str"/>
      <x:c r="U321" s="19" t="n">
        <x:v>46303</x:v>
      </x:c>
    </x:row>
    <x:row r="322" ht="68" customHeight="1">
      <x:c r="A322" s="14" t="str">
        <x:v>D-1E0B22DB</x:v>
      </x:c>
      <x:c r="B322" s="14" t="str">
        <x:v>需人工获取</x:v>
      </x:c>
      <x:c r="C322" s="14" t="str">
        <x:v>Evaluating effect size in psychological research: Sense and nonsense</x:v>
      </x:c>
      <x:c r="D322" s="14" t="str">
        <x:v>英文</x:v>
      </x:c>
      <x:c r="E322" s="15" t="str">
        <x:v>未处理</x:v>
      </x:c>
      <x:c r="F322" s="15" t="str"/>
      <x:c r="G322" s="16" t="str">
        <x:v>https://doi.org/10.1177/2515245919847202</x:v>
      </x:c>
      <x:c r="H322" s="14" t="str">
        <x:v>A05</x:v>
      </x:c>
      <x:c r="I322" s="14" t="str">
        <x:v>Funder, D. C., &amp; Ozer, D. J.</x:v>
      </x:c>
      <x:c r="J322" s="18" t="n">
        <x:v>2019</x:v>
      </x:c>
      <x:c r="K322" s="14" t="str">
        <x:v>研究文献</x:v>
      </x:c>
      <x:c r="L322" s="14" t="str">
        <x:v>选读</x:v>
      </x:c>
      <x:c r="M322" s="14" t="str">
        <x:v>2026-10-07 重试：来源页访问未完成（curl 22）；可从作者公开稿或学校图书馆继续获取。</x:v>
      </x:c>
      <x:c r="N322" s="14" t="str">
        <x:v>从 DOI 或出版社页查看全文；也可使用学校图书馆或作者公开版本。</x:v>
      </x:c>
      <x:c r="O322" s="14" t="str">
        <x:v>**主张小效应被低估了**：r = .10 若长期累积或影响大量人群，实质意义可能很大。与「效应量要大」的直觉对读</x:v>
      </x:c>
      <x:c r="P322" s="14" t="str">
        <x:v>10.1177/2515245919847202</x:v>
      </x:c>
      <x:c r="Q322" s="14" t="str"/>
      <x:c r="R322" s="17"/>
      <x:c r="S322" s="14" t="str"/>
      <x:c r="T322" s="14" t="str"/>
      <x:c r="U322" s="19" t="n">
        <x:v>46303</x:v>
      </x:c>
    </x:row>
    <x:row r="323" ht="68" customHeight="1">
      <x:c r="A323" s="14" t="str">
        <x:v>D-BE20356F</x:v>
      </x:c>
      <x:c r="B323" s="14" t="str">
        <x:v>需人工获取</x:v>
      </x:c>
      <x:c r="C323" s="14" t="str">
        <x:v>One hundred years of social psychology quantitatively described</x:v>
      </x:c>
      <x:c r="D323" s="14" t="str">
        <x:v>英文</x:v>
      </x:c>
      <x:c r="E323" s="15" t="str">
        <x:v>未处理</x:v>
      </x:c>
      <x:c r="F323" s="15" t="str"/>
      <x:c r="G323" s="16" t="str">
        <x:v>https://doi.org/10.1037/1089-2680.7.4.331</x:v>
      </x:c>
      <x:c r="H323" s="14" t="str">
        <x:v>A05；L01</x:v>
      </x:c>
      <x:c r="I323" s="14" t="str">
        <x:v>Richard, F. D., Bond, C. F., &amp; Stokes-Zoota, J. J.</x:v>
      </x:c>
      <x:c r="J323" s="18" t="n">
        <x:v>2003</x:v>
      </x:c>
      <x:c r="K323" s="14" t="str">
        <x:v>研究文献</x:v>
      </x:c>
      <x:c r="L323" s="14" t="str">
        <x:v>选读</x:v>
      </x:c>
      <x:c r="M323" s="14" t="str">
        <x:v>未取得全文；页面响应不能证明全文权限。</x:v>
      </x:c>
      <x:c r="N323" s="14" t="str">
        <x:v>从 DOI 或出版社页查看全文；也可使用学校图书馆或作者公开版本。</x:v>
      </x:c>
      <x:c r="O323" s="14" t="str">
        <x:v>**社会心理学效应量的分布基准**：中位数约 r = .21。判断自己的效应量大小时用它当参照，比 Cohen 的通用标准好</x:v>
      </x:c>
      <x:c r="P323" s="14" t="str">
        <x:v>10.1037/1089-2680.7.4.331</x:v>
      </x:c>
      <x:c r="Q323" s="14" t="str"/>
      <x:c r="R323" s="17"/>
      <x:c r="S323" s="14" t="str"/>
      <x:c r="T323" s="14" t="str"/>
      <x:c r="U323" s="19" t="n">
        <x:v>46303</x:v>
      </x:c>
    </x:row>
    <x:row r="324" ht="68" customHeight="1">
      <x:c r="A324" s="14" t="str">
        <x:v>D-ED89F8D0</x:v>
      </x:c>
      <x:c r="B324" s="14" t="str">
        <x:v>需人工获取</x:v>
      </x:c>
      <x:c r="C324" s="14" t="str">
        <x:v>Eta squared, partial eta squared, and misreporting of effect size in communication research</x:v>
      </x:c>
      <x:c r="D324" s="14" t="str">
        <x:v>英文</x:v>
      </x:c>
      <x:c r="E324" s="15" t="str">
        <x:v>未处理</x:v>
      </x:c>
      <x:c r="F324" s="15" t="str"/>
      <x:c r="G324" s="16" t="str">
        <x:v>https://doi.org/10.1111/j.1468-2958.2002.tb00828.x</x:v>
      </x:c>
      <x:c r="H324" s="14" t="str">
        <x:v>A06；C02</x:v>
      </x:c>
      <x:c r="I324" s="14" t="str">
        <x:v>Levine, T. R., &amp; Hullett, C. R.</x:v>
      </x:c>
      <x:c r="J324" s="18" t="n">
        <x:v>2002</x:v>
      </x:c>
      <x:c r="K324" s="14" t="str">
        <x:v>研究文献</x:v>
      </x:c>
      <x:c r="L324" s="14" t="str">
        <x:v>选读</x:v>
      </x:c>
      <x:c r="M324" s="14" t="str">
        <x:v>未取得全文；页面响应不能证明全文权限。</x:v>
      </x:c>
      <x:c r="N324" s="14" t="str">
        <x:v>从 DOI 或出版社页查看全文；也可使用学校图书馆或作者公开版本。</x:v>
      </x:c>
      <x:c r="O324" s="14" t="str">
        <x:v>**SPSS 输出的是偏 η²，很多论文却当成 η² 报告**。这个混淆至今普遍</x:v>
      </x:c>
      <x:c r="P324" s="14" t="str">
        <x:v>10.1111/j.1468-2958.2002.tb00828.x</x:v>
      </x:c>
      <x:c r="Q324" s="14" t="str"/>
      <x:c r="R324" s="17"/>
      <x:c r="S324" s="14" t="str"/>
      <x:c r="T324" s="14" t="str"/>
      <x:c r="U324" s="19" t="n">
        <x:v>46303</x:v>
      </x:c>
    </x:row>
    <x:row r="325" ht="68" customHeight="1">
      <x:c r="A325" s="14" t="str">
        <x:v>D-E20DDBB4</x:v>
      </x:c>
      <x:c r="B325" s="14" t="str">
        <x:v>需人工获取</x:v>
      </x:c>
      <x:c r="C325" s="14" t="str">
        <x:v>Power failure: Why small sample size undermines the reliability of neuroscience</x:v>
      </x:c>
      <x:c r="D325" s="14" t="str">
        <x:v>英文</x:v>
      </x:c>
      <x:c r="E325" s="15" t="str">
        <x:v>未处理</x:v>
      </x:c>
      <x:c r="F325" s="15" t="str"/>
      <x:c r="G325" s="16" t="str">
        <x:v>https://doi.org/10.1038/nrn3502</x:v>
      </x:c>
      <x:c r="H325" s="14" t="str">
        <x:v>A07</x:v>
      </x:c>
      <x:c r="I325" s="14" t="str">
        <x:v>Button, K. S., Ioannidis, J. P. A., Mokrysz, C., et al.</x:v>
      </x:c>
      <x:c r="J325" s="18" t="n">
        <x:v>2013</x:v>
      </x:c>
      <x:c r="K325" s="14" t="str">
        <x:v>研究文献</x:v>
      </x:c>
      <x:c r="L325" s="14" t="str">
        <x:v>选读</x:v>
      </x:c>
      <x:c r="M325" s="14" t="str">
        <x:v>未取得全文；页面响应不能证明全文权限。</x:v>
      </x:c>
      <x:c r="N325" s="14" t="str">
        <x:v>从 DOI 或出版社页查看全文；也可使用学校图书馆或作者公开版本。</x:v>
      </x:c>
      <x:c r="O325" s="14" t="str">
        <x:v>**赢家诅咒的系统论证**。虽然写的是神经科学，机制对所有领域成立</x:v>
      </x:c>
      <x:c r="P325" s="14" t="str">
        <x:v>10.1038/nrn3502</x:v>
      </x:c>
      <x:c r="Q325" s="14" t="str"/>
      <x:c r="R325" s="17"/>
      <x:c r="S325" s="14" t="str"/>
      <x:c r="T325" s="14" t="str"/>
      <x:c r="U325" s="19" t="n">
        <x:v>46303</x:v>
      </x:c>
    </x:row>
    <x:row r="326" ht="68" customHeight="1">
      <x:c r="A326" s="14" t="str">
        <x:v>D-6AE86D18</x:v>
      </x:c>
      <x:c r="B326" s="14" t="str">
        <x:v>需人工获取</x:v>
      </x:c>
      <x:c r="C326" s="14" t="str">
        <x:v>When to adjust alpha during multiple testing: A consideration of disjunction, conjunction, and individual testing</x:v>
      </x:c>
      <x:c r="D326" s="14" t="str">
        <x:v>英文</x:v>
      </x:c>
      <x:c r="E326" s="15" t="str">
        <x:v>未处理</x:v>
      </x:c>
      <x:c r="F326" s="15" t="str"/>
      <x:c r="G326" s="16" t="str">
        <x:v>https://doi.org/10.22541/au.162569018.85105015/v1</x:v>
      </x:c>
      <x:c r="H326" s="14" t="str">
        <x:v>A08</x:v>
      </x:c>
      <x:c r="I326" s="14" t="str">
        <x:v>Rubin, M.</x:v>
      </x:c>
      <x:c r="J326" s="18" t="n">
        <x:v>2021</x:v>
      </x:c>
      <x:c r="K326" s="14" t="str">
        <x:v>研究文献</x:v>
      </x:c>
      <x:c r="L326" s="14" t="str">
        <x:v>选读</x:v>
      </x:c>
      <x:c r="M326" s="14" t="str">
        <x:v>未取得全文；页面响应不能证明全文权限。</x:v>
      </x:c>
      <x:c r="N326" s="14" t="str">
        <x:v>从 DOI 或出版社页查看全文；也可使用学校图书馆或作者公开版本。</x:v>
      </x:c>
      <x:c r="O326" s="14" t="str">
        <x:v>**什么时候该校正、什么时候不该**。「检验多就一定要校正」是过度简化 链接为作者公开稿或工作论文，可能与正式发表版在年份、题名或内容上不同；引用时请核对所用版本。</x:v>
      </x:c>
      <x:c r="P326" s="14" t="str">
        <x:v>10.22541/au.162569018.85105015/v1</x:v>
      </x:c>
      <x:c r="Q326" s="14" t="str"/>
      <x:c r="R326" s="17"/>
      <x:c r="S326" s="14" t="str"/>
      <x:c r="T326" s="14" t="str"/>
      <x:c r="U326" s="19" t="n">
        <x:v>46303</x:v>
      </x:c>
    </x:row>
    <x:row r="327" ht="68" customHeight="1">
      <x:c r="A327" s="14" t="str">
        <x:v>D-915D8AA6</x:v>
      </x:c>
      <x:c r="B327" s="14" t="str">
        <x:v>需人工获取</x:v>
      </x:c>
      <x:c r="C327" s="14" t="str">
        <x:v>Why we (usually) don't have to worry about multiple comparisons</x:v>
      </x:c>
      <x:c r="D327" s="14" t="str">
        <x:v>英文</x:v>
      </x:c>
      <x:c r="E327" s="15" t="str">
        <x:v>未处理</x:v>
      </x:c>
      <x:c r="F327" s="15" t="str"/>
      <x:c r="G327" s="16" t="str">
        <x:v>https://doi.org/10.1080/19345747.2011.618213</x:v>
      </x:c>
      <x:c r="H327" s="14" t="str">
        <x:v>A08</x:v>
      </x:c>
      <x:c r="I327" s="14" t="str">
        <x:v>Gelman, A., Hill, J., &amp; Yajima, M.</x:v>
      </x:c>
      <x:c r="J327" s="18" t="n">
        <x:v>2012</x:v>
      </x:c>
      <x:c r="K327" s="14" t="str">
        <x:v>研究文献</x:v>
      </x:c>
      <x:c r="L327" s="14" t="str">
        <x:v>选读</x:v>
      </x:c>
      <x:c r="M327" s="14" t="str">
        <x:v>未取得全文；页面响应不能证明全文权限。</x:v>
      </x:c>
      <x:c r="N327" s="14" t="str">
        <x:v>从 DOI 或出版社页查看全文；也可使用学校图书馆或作者公开版本。</x:v>
      </x:c>
      <x:c r="O327" s="14" t="str">
        <x:v>**反方观点**：多层贝叶斯模型的收缩天然抑制假阳性，比事后校正更合理</x:v>
      </x:c>
      <x:c r="P327" s="14" t="str">
        <x:v>10.1080/19345747.2011.618213</x:v>
      </x:c>
      <x:c r="Q327" s="14" t="str"/>
      <x:c r="R327" s="17"/>
      <x:c r="S327" s="14" t="str"/>
      <x:c r="T327" s="14" t="str"/>
      <x:c r="U327" s="19" t="n">
        <x:v>46303</x:v>
      </x:c>
    </x:row>
    <x:row r="328" ht="68" customHeight="1">
      <x:c r="A328" s="14" t="str">
        <x:v>D-3A6637D4</x:v>
      </x:c>
      <x:c r="B328" s="14" t="str">
        <x:v>需人工获取</x:v>
      </x:c>
      <x:c r="C328" s="14" t="str">
        <x:v>The percentile bootstrap: A primer with step-by-step instructions in R</x:v>
      </x:c>
      <x:c r="D328" s="14" t="str">
        <x:v>英文</x:v>
      </x:c>
      <x:c r="E328" s="15" t="str">
        <x:v>未处理</x:v>
      </x:c>
      <x:c r="F328" s="15" t="str"/>
      <x:c r="G328" s="16" t="str">
        <x:v>https://doi.org/10.31234/osf.io/kxarf</x:v>
      </x:c>
      <x:c r="H328" s="14" t="str">
        <x:v>A09</x:v>
      </x:c>
      <x:c r="I328" s="14" t="str">
        <x:v>Rousselet, G. A., Pernet, C. R., &amp; Wilcox, R. R.</x:v>
      </x:c>
      <x:c r="J328" s="18" t="n">
        <x:v>2021</x:v>
      </x:c>
      <x:c r="K328" s="14" t="str">
        <x:v>研究文献</x:v>
      </x:c>
      <x:c r="L328" s="14" t="str">
        <x:v>选读</x:v>
      </x:c>
      <x:c r="M328" s="14" t="str">
        <x:v>未取得全文；页面响应不能证明全文权限。</x:v>
      </x:c>
      <x:c r="N328" s="14" t="str">
        <x:v>从 DOI 或出版社页查看全文；也可使用学校图书馆或作者公开版本。</x:v>
      </x:c>
      <x:c r="O328" s="14" t="str">
        <x:v>**什么时候百分位法就够、什么时候需要 BCa**，附完整 R 步骤 链接为作者公开稿或工作论文，可能与正式发表版在年份、题名或内容上不同；引用时请核对所用版本。</x:v>
      </x:c>
      <x:c r="P328" s="14" t="str">
        <x:v>10.31234/osf.io/kxarf</x:v>
      </x:c>
      <x:c r="Q328" s="14" t="str"/>
      <x:c r="R328" s="17"/>
      <x:c r="S328" s="14" t="str"/>
      <x:c r="T328" s="14" t="str"/>
      <x:c r="U328" s="19" t="n">
        <x:v>46303</x:v>
      </x:c>
    </x:row>
    <x:row r="329" ht="68" customHeight="1">
      <x:c r="A329" s="14" t="str">
        <x:v>D-A6E656D4</x:v>
      </x:c>
      <x:c r="B329" s="14" t="str">
        <x:v>需人工获取</x:v>
      </x:c>
      <x:c r="C329" s="14" t="str">
        <x:v>What teachers should know about the bootstrap</x:v>
      </x:c>
      <x:c r="D329" s="14" t="str">
        <x:v>英文</x:v>
      </x:c>
      <x:c r="E329" s="15" t="str">
        <x:v>未处理</x:v>
      </x:c>
      <x:c r="F329" s="15" t="str"/>
      <x:c r="G329" s="16" t="str">
        <x:v>https://doi.org/10.1080/00031305.2015.1089789</x:v>
      </x:c>
      <x:c r="H329" s="14" t="str">
        <x:v>A09</x:v>
      </x:c>
      <x:c r="I329" s="14" t="str">
        <x:v>Hesterberg, T. C.</x:v>
      </x:c>
      <x:c r="J329" s="18" t="n">
        <x:v>2015</x:v>
      </x:c>
      <x:c r="K329" s="14" t="str">
        <x:v>研究文献</x:v>
      </x:c>
      <x:c r="L329" s="14" t="str">
        <x:v>选读</x:v>
      </x:c>
      <x:c r="M329" s="14" t="str">
        <x:v>未取得全文；页面响应不能证明全文权限。</x:v>
      </x:c>
      <x:c r="N329" s="14" t="str">
        <x:v>从 DOI 或出版社页查看全文；也可使用学校图书馆或作者公开版本。</x:v>
      </x:c>
      <x:c r="O329" s="14" t="str">
        <x:v>**Bootstrap 的常见误解与失效场景**：小样本、极值统计量、非独立数据</x:v>
      </x:c>
      <x:c r="P329" s="14" t="str">
        <x:v>10.1080/00031305.2015.1089789</x:v>
      </x:c>
      <x:c r="Q329" s="14" t="str"/>
      <x:c r="R329" s="17"/>
      <x:c r="S329" s="14" t="str"/>
      <x:c r="T329" s="14" t="str"/>
      <x:c r="U329" s="19" t="n">
        <x:v>46303</x:v>
      </x:c>
    </x:row>
    <x:row r="330" ht="68" customHeight="1">
      <x:c r="A330" s="14" t="str">
        <x:v>D-3D442226</x:v>
      </x:c>
      <x:c r="B330" s="14" t="str">
        <x:v>需人工获取</x:v>
      </x:c>
      <x:c r="C330" s="14" t="str">
        <x:v>Permutation tests for multi-factor analysis of variance</x:v>
      </x:c>
      <x:c r="D330" s="14" t="str">
        <x:v>英文</x:v>
      </x:c>
      <x:c r="E330" s="15" t="str">
        <x:v>未处理</x:v>
      </x:c>
      <x:c r="F330" s="15" t="str"/>
      <x:c r="G330" s="16" t="str">
        <x:v>https://doi.org/10.1080/00949650215733</x:v>
      </x:c>
      <x:c r="H330" s="14" t="str">
        <x:v>A10</x:v>
      </x:c>
      <x:c r="I330" s="14" t="str">
        <x:v>Anderson, M. J., &amp; Ter Braak, C. J. F.</x:v>
      </x:c>
      <x:c r="J330" s="18" t="n">
        <x:v>2003</x:v>
      </x:c>
      <x:c r="K330" s="14" t="str">
        <x:v>研究文献</x:v>
      </x:c>
      <x:c r="L330" s="14" t="str">
        <x:v>选读</x:v>
      </x:c>
      <x:c r="M330" s="14" t="str">
        <x:v>未取得全文；页面响应不能证明全文权限。</x:v>
      </x:c>
      <x:c r="N330" s="14" t="str">
        <x:v>从 DOI 或出版社页查看全文；也可使用学校图书馆或作者公开版本。</x:v>
      </x:c>
      <x:c r="O330" s="14" t="str">
        <x:v>**复杂设计下该打乱什么**——这是置换检验最容易做错的地方</x:v>
      </x:c>
      <x:c r="P330" s="14" t="str">
        <x:v>10.1080/00949650215733</x:v>
      </x:c>
      <x:c r="Q330" s="14" t="str"/>
      <x:c r="R330" s="17"/>
      <x:c r="S330" s="14" t="str"/>
      <x:c r="T330" s="14" t="str"/>
      <x:c r="U330" s="19" t="n">
        <x:v>46303</x:v>
      </x:c>
    </x:row>
    <x:row r="331" ht="68" customHeight="1">
      <x:c r="A331" s="14" t="str">
        <x:v>D-C8D87314</x:v>
      </x:c>
      <x:c r="B331" s="14" t="str">
        <x:v>需人工获取</x:v>
      </x:c>
      <x:c r="C331" s="14" t="str">
        <x:v>Chi-squared and Fisher–Irwin tests of two-by-two tables with small sample recommendations</x:v>
      </x:c>
      <x:c r="D331" s="14" t="str">
        <x:v>英文</x:v>
      </x:c>
      <x:c r="E331" s="15" t="str">
        <x:v>未处理</x:v>
      </x:c>
      <x:c r="F331" s="15" t="str"/>
      <x:c r="G331" s="16" t="str">
        <x:v>https://doi.org/10.1002/sim.2832</x:v>
      </x:c>
      <x:c r="H331" s="14" t="str">
        <x:v>A13</x:v>
      </x:c>
      <x:c r="I331" s="14" t="str">
        <x:v>Campbell, I.</x:v>
      </x:c>
      <x:c r="J331" s="18" t="n">
        <x:v>2007</x:v>
      </x:c>
      <x:c r="K331" s="14" t="str">
        <x:v>研究文献</x:v>
      </x:c>
      <x:c r="L331" s="14" t="str">
        <x:v>选读</x:v>
      </x:c>
      <x:c r="M331" s="14" t="str">
        <x:v>未取得全文；页面响应不能证明全文权限。</x:v>
      </x:c>
      <x:c r="N331" s="14" t="str">
        <x:v>从 DOI 或出版社页查看全文；也可使用学校图书馆或作者公开版本。</x:v>
      </x:c>
      <x:c r="O331" s="14" t="str">
        <x:v>**「期望频次&lt;5 就用 Fisher」这条老规则其实过于保守**，给出了更新的建议</x:v>
      </x:c>
      <x:c r="P331" s="14" t="str">
        <x:v>10.1002/sim.2832</x:v>
      </x:c>
      <x:c r="Q331" s="14" t="str"/>
      <x:c r="R331" s="17"/>
      <x:c r="S331" s="14" t="str"/>
      <x:c r="T331" s="14" t="str"/>
      <x:c r="U331" s="19" t="n">
        <x:v>46303</x:v>
      </x:c>
    </x:row>
    <x:row r="332" ht="68" customHeight="1">
      <x:c r="A332" s="14" t="str">
        <x:v>D-0877CF98</x:v>
      </x:c>
      <x:c r="B332" s="14" t="str">
        <x:v>需人工获取</x:v>
      </x:c>
      <x:c r="C332" s="14" t="str">
        <x:v>Analyzing ordinal data with metric models: What could possibly go wrong?</x:v>
      </x:c>
      <x:c r="D332" s="14" t="str">
        <x:v>英文</x:v>
      </x:c>
      <x:c r="E332" s="15" t="str">
        <x:v>未处理</x:v>
      </x:c>
      <x:c r="F332" s="15" t="str"/>
      <x:c r="G332" s="16" t="str">
        <x:v>https://doi.org/10.2139/ssrn.2692323</x:v>
      </x:c>
      <x:c r="H332" s="14" t="str">
        <x:v>B01</x:v>
      </x:c>
      <x:c r="I332" s="14" t="str">
        <x:v>Liddell, T. M., &amp; Kruschke, J. K.</x:v>
      </x:c>
      <x:c r="J332" s="18" t="n">
        <x:v>2018</x:v>
      </x:c>
      <x:c r="K332" s="14" t="str">
        <x:v>研究文献</x:v>
      </x:c>
      <x:c r="L332" s="14" t="str">
        <x:v>选读</x:v>
      </x:c>
      <x:c r="M332" s="14" t="str">
        <x:v>未取得全文；页面响应不能证明全文权限。</x:v>
      </x:c>
      <x:c r="N332" s="14" t="str">
        <x:v>从 DOI 或出版社页查看全文；也可使用学校图书馆或作者公开版本。</x:v>
      </x:c>
      <x:c r="O332" s="14" t="str">
        <x:v>**把李克特当连续变量到底会错到什么程度**：可能造出不存在的交互，甚至反号 链接为作者公开稿或工作论文，可能与正式发表版在年份、题名或内容上不同；引用时请核对所用版本。</x:v>
      </x:c>
      <x:c r="P332" s="14" t="str">
        <x:v>10.2139/ssrn.2692323</x:v>
      </x:c>
      <x:c r="Q332" s="14" t="str"/>
      <x:c r="R332" s="17"/>
      <x:c r="S332" s="14" t="str"/>
      <x:c r="T332" s="14" t="str"/>
      <x:c r="U332" s="19" t="n">
        <x:v>46303</x:v>
      </x:c>
    </x:row>
    <x:row r="333" ht="68" customHeight="1">
      <x:c r="A333" s="14" t="str">
        <x:v>D-31AF38E6</x:v>
      </x:c>
      <x:c r="B333" s="14" t="str">
        <x:v>需人工获取</x:v>
      </x:c>
      <x:c r="C333" s="14" t="str">
        <x:v>On the use, the misuse, and the very limited usefulness of Cronbach's alpha</x:v>
      </x:c>
      <x:c r="D333" s="14" t="str">
        <x:v>英文</x:v>
      </x:c>
      <x:c r="E333" s="15" t="str">
        <x:v>未处理</x:v>
      </x:c>
      <x:c r="F333" s="15" t="str"/>
      <x:c r="G333" s="16" t="str">
        <x:v>https://doi.org/10.1007/s11336-008-9101-0</x:v>
      </x:c>
      <x:c r="H333" s="14" t="str">
        <x:v>B02</x:v>
      </x:c>
      <x:c r="I333" s="14" t="str">
        <x:v>Sijtsma, K.</x:v>
      </x:c>
      <x:c r="J333" s="18" t="n">
        <x:v>2009</x:v>
      </x:c>
      <x:c r="K333" s="14" t="str">
        <x:v>研究文献</x:v>
      </x:c>
      <x:c r="L333" s="14" t="str">
        <x:v>选读</x:v>
      </x:c>
      <x:c r="M333" s="14" t="str">
        <x:v>未取得全文；页面响应不能证明全文权限。</x:v>
      </x:c>
      <x:c r="N333" s="14" t="str">
        <x:v>从 DOI 或出版社页查看全文；也可使用学校图书馆或作者公开版本。</x:v>
      </x:c>
      <x:c r="O333" s="14" t="str">
        <x:v>标题就是结论。系统说明 α 既不是信度的准确估计，也不是单维性的证据</x:v>
      </x:c>
      <x:c r="P333" s="14" t="str">
        <x:v>10.1007/s11336-008-9101-0</x:v>
      </x:c>
      <x:c r="Q333" s="14" t="str"/>
      <x:c r="R333" s="17"/>
      <x:c r="S333" s="14" t="str"/>
      <x:c r="T333" s="14" t="str"/>
      <x:c r="U333" s="19" t="n">
        <x:v>46303</x:v>
      </x:c>
    </x:row>
    <x:row r="334" ht="68" customHeight="1">
      <x:c r="A334" s="14" t="str">
        <x:v>D-3CEB073C</x:v>
      </x:c>
      <x:c r="B334" s="14" t="str">
        <x:v>需人工获取</x:v>
      </x:c>
      <x:c r="C334" s="14" t="str">
        <x:v>Thanks coefficient alpha, we'll take it from here</x:v>
      </x:c>
      <x:c r="D334" s="14" t="str">
        <x:v>英文</x:v>
      </x:c>
      <x:c r="E334" s="15" t="str">
        <x:v>未处理</x:v>
      </x:c>
      <x:c r="F334" s="15" t="str"/>
      <x:c r="G334" s="16" t="str">
        <x:v>https://doi.org/10.1037/met0000144</x:v>
      </x:c>
      <x:c r="H334" s="14" t="str">
        <x:v>B02</x:v>
      </x:c>
      <x:c r="I334" s="14" t="str">
        <x:v>McNeish, D.</x:v>
      </x:c>
      <x:c r="J334" s="18" t="n">
        <x:v>2018</x:v>
      </x:c>
      <x:c r="K334" s="14" t="str">
        <x:v>研究文献</x:v>
      </x:c>
      <x:c r="L334" s="14" t="str">
        <x:v>选读</x:v>
      </x:c>
      <x:c r="M334" s="14" t="str">
        <x:v>未取得全文；页面响应不能证明全文权限。</x:v>
      </x:c>
      <x:c r="N334" s="14" t="str">
        <x:v>从 DOI 或出版社页查看全文；也可使用学校图书馆或作者公开版本。</x:v>
      </x:c>
      <x:c r="O334" s="14" t="str">
        <x:v>**最实用的一篇**。给出各种情形下该用哪个信度系数的决策表，附 R 代码</x:v>
      </x:c>
      <x:c r="P334" s="14" t="str">
        <x:v>10.1037/met0000144</x:v>
      </x:c>
      <x:c r="Q334" s="14" t="str"/>
      <x:c r="R334" s="17"/>
      <x:c r="S334" s="14" t="str"/>
      <x:c r="T334" s="14" t="str"/>
      <x:c r="U334" s="19" t="n">
        <x:v>46303</x:v>
      </x:c>
    </x:row>
    <x:row r="335" ht="68" customHeight="1">
      <x:c r="A335" s="14" t="str">
        <x:v>D-595D553A</x:v>
      </x:c>
      <x:c r="B335" s="14" t="str">
        <x:v>需人工获取</x:v>
      </x:c>
      <x:c r="C335" s="14" t="str">
        <x:v>Measurement schmeasurement: Questionable measurement practices and how to avoid them</x:v>
      </x:c>
      <x:c r="D335" s="14" t="str">
        <x:v>英文</x:v>
      </x:c>
      <x:c r="E335" s="15" t="str">
        <x:v>未处理</x:v>
      </x:c>
      <x:c r="F335" s="15" t="str"/>
      <x:c r="G335" s="16" t="str">
        <x:v>https://doi.org/10.31234/osf.io/hs7wm</x:v>
      </x:c>
      <x:c r="H335" s="14" t="str">
        <x:v>B02；B04</x:v>
      </x:c>
      <x:c r="I335" s="14" t="str">
        <x:v>Flake, J. K., &amp; Fried, E. I.</x:v>
      </x:c>
      <x:c r="J335" s="18" t="n">
        <x:v>2020</x:v>
      </x:c>
      <x:c r="K335" s="14" t="str">
        <x:v>研究文献</x:v>
      </x:c>
      <x:c r="L335" s="14" t="str">
        <x:v>选读</x:v>
      </x:c>
      <x:c r="M335" s="14" t="str">
        <x:v>未取得全文；页面响应不能证明全文权限。</x:v>
      </x:c>
      <x:c r="N335" s="14" t="str">
        <x:v>从 DOI 或出版社页查看全文；也可使用学校图书馆或作者公开版本。</x:v>
      </x:c>
      <x:c r="O335" s="14" t="str">
        <x:v>**测量领域近十年最重要的一篇**。指出大量研究随意改编量表却沿用原始效度证据 链接为作者公开稿或工作论文，可能与正式发表版在年份、题名或内容上不同；引用时请核对所用版本。</x:v>
      </x:c>
      <x:c r="P335" s="14" t="str">
        <x:v>10.31234/osf.io/hs7wm</x:v>
      </x:c>
      <x:c r="Q335" s="14" t="str"/>
      <x:c r="R335" s="17"/>
      <x:c r="S335" s="14" t="str"/>
      <x:c r="T335" s="14" t="str"/>
      <x:c r="U335" s="19" t="n">
        <x:v>46303</x:v>
      </x:c>
    </x:row>
    <x:row r="336" ht="68" customHeight="1">
      <x:c r="A336" s="14" t="str">
        <x:v>D-D6BFEFE0</x:v>
      </x:c>
      <x:c r="B336" s="14" t="str">
        <x:v>需人工获取</x:v>
      </x:c>
      <x:c r="C336" s="14" t="str">
        <x:v>Computing inter-rater reliability for observational data: An overview and tutorial</x:v>
      </x:c>
      <x:c r="D336" s="14" t="str">
        <x:v>英文</x:v>
      </x:c>
      <x:c r="E336" s="15" t="str">
        <x:v>未处理</x:v>
      </x:c>
      <x:c r="F336" s="15" t="str"/>
      <x:c r="G336" s="16" t="str">
        <x:v>https://doi.org/10.20982/tqmp.08.1.p023</x:v>
      </x:c>
      <x:c r="H336" s="14" t="str">
        <x:v>B03</x:v>
      </x:c>
      <x:c r="I336" s="14" t="str">
        <x:v>Hallgren, K. A.</x:v>
      </x:c>
      <x:c r="J336" s="18" t="n">
        <x:v>2012</x:v>
      </x:c>
      <x:c r="K336" s="14" t="str">
        <x:v>研究文献</x:v>
      </x:c>
      <x:c r="L336" s="14" t="str">
        <x:v>选读</x:v>
      </x:c>
      <x:c r="M336" s="14" t="str">
        <x:v>未取得全文；页面响应不能证明全文权限。</x:v>
      </x:c>
      <x:c r="N336" s="14" t="str">
        <x:v>从 DOI 或出版社页查看全文；也可使用学校图书馆或作者公开版本。</x:v>
      </x:c>
      <x:c r="O336" s="14" t="str">
        <x:v>**不写明 ICC 型号是文献里最普遍的报告缺陷**，这篇逐条说明该怎么选</x:v>
      </x:c>
      <x:c r="P336" s="14" t="str">
        <x:v>10.20982/tqmp.08.1.p023</x:v>
      </x:c>
      <x:c r="Q336" s="14" t="str"/>
      <x:c r="R336" s="17"/>
      <x:c r="S336" s="14" t="str"/>
      <x:c r="T336" s="14" t="str"/>
      <x:c r="U336" s="19" t="n">
        <x:v>46303</x:v>
      </x:c>
    </x:row>
    <x:row r="337" ht="68" customHeight="1">
      <x:c r="A337" s="14" t="str">
        <x:v>D-20FF1005</x:v>
      </x:c>
      <x:c r="B337" s="14" t="str">
        <x:v>需人工获取</x:v>
      </x:c>
      <x:c r="C337" s="14" t="str">
        <x:v>Measurement Schmeasurement: Questionable Measurement Practices and How to Avoid Them</x:v>
      </x:c>
      <x:c r="D337" s="14" t="str">
        <x:v>英文</x:v>
      </x:c>
      <x:c r="E337" s="15" t="str">
        <x:v>未处理</x:v>
      </x:c>
      <x:c r="F337" s="15" t="str"/>
      <x:c r="G337" s="16" t="str">
        <x:v>https://doi.org/10.1177/2515245920952393</x:v>
      </x:c>
      <x:c r="H337" s="14" t="str">
        <x:v>B04</x:v>
      </x:c>
      <x:c r="I337" s="14" t="str">
        <x:v>Flake; Fried</x:v>
      </x:c>
      <x:c r="J337" s="18" t="n">
        <x:v>2020</x:v>
      </x:c>
      <x:c r="K337" s="14" t="str">
        <x:v>文献</x:v>
      </x:c>
      <x:c r="L337" s="14" t="str">
        <x:v>选读</x:v>
      </x:c>
      <x:c r="M337" s="14" t="str">
        <x:v>2026-10-07 重试：来源页访问未完成（curl 22）；可从作者公开稿或学校图书馆继续获取。</x:v>
      </x:c>
      <x:c r="N337" s="14" t="str">
        <x:v>从 DOI 或出版社页查看全文；也可使用学校图书馆或作者公开版本。</x:v>
      </x:c>
      <x:c r="O337" s="14" t="str">
        <x:v>开放科学中的测量效度与研究者自由度。</x:v>
      </x:c>
      <x:c r="P337" s="14" t="str">
        <x:v>10.1177/2515245920952393</x:v>
      </x:c>
      <x:c r="Q337" s="14" t="str"/>
      <x:c r="R337" s="17"/>
      <x:c r="S337" s="14" t="str"/>
      <x:c r="T337" s="14" t="str"/>
      <x:c r="U337" s="19" t="n">
        <x:v>46303</x:v>
      </x:c>
    </x:row>
    <x:row r="338" ht="68" customHeight="1">
      <x:c r="A338" s="14" t="str">
        <x:v>D-9FE79A27</x:v>
      </x:c>
      <x:c r="B338" s="14" t="str">
        <x:v>需人工获取</x:v>
      </x:c>
      <x:c r="C338" s="14" t="str">
        <x:v>Repairing Tom Swift's electric factor analysis machine</x:v>
      </x:c>
      <x:c r="D338" s="14" t="str">
        <x:v>英文</x:v>
      </x:c>
      <x:c r="E338" s="15" t="str">
        <x:v>未处理</x:v>
      </x:c>
      <x:c r="F338" s="15" t="str"/>
      <x:c r="G338" s="16" t="str">
        <x:v>https://doi.org/10.1207/s15328031us0201_02</x:v>
      </x:c>
      <x:c r="H338" s="14" t="str">
        <x:v>B05</x:v>
      </x:c>
      <x:c r="I338" s="14" t="str">
        <x:v>Preacher, K. J., &amp; MacCallum, R. C.</x:v>
      </x:c>
      <x:c r="J338" s="18" t="n">
        <x:v>2003</x:v>
      </x:c>
      <x:c r="K338" s="14" t="str">
        <x:v>研究文献</x:v>
      </x:c>
      <x:c r="L338" s="14" t="str">
        <x:v>选读</x:v>
      </x:c>
      <x:c r="M338" s="14" t="str">
        <x:v>未取得全文；页面响应不能证明全文权限。</x:v>
      </x:c>
      <x:c r="N338" s="14" t="str">
        <x:v>从 DOI 或出版社页查看全文；也可使用学校图书馆或作者公开版本。</x:v>
      </x:c>
      <x:c r="O338" s="14" t="str">
        <x:v>用幽默的方式列举 EFA 的常见误用，可读性极高</x:v>
      </x:c>
      <x:c r="P338" s="14" t="str">
        <x:v>10.1207/s15328031us0201_02</x:v>
      </x:c>
      <x:c r="Q338" s="14" t="str"/>
      <x:c r="R338" s="17"/>
      <x:c r="S338" s="14" t="str"/>
      <x:c r="T338" s="14" t="str"/>
      <x:c r="U338" s="19" t="n">
        <x:v>46303</x:v>
      </x:c>
    </x:row>
    <x:row r="339" ht="68" customHeight="1">
      <x:c r="A339" s="14" t="str">
        <x:v>D-5EA714EC</x:v>
      </x:c>
      <x:c r="B339" s="14" t="str">
        <x:v>需人工获取</x:v>
      </x:c>
      <x:c r="C339" s="14" t="str">
        <x:v>“General Intelligence,” Objectively Determined and Measured</x:v>
      </x:c>
      <x:c r="D339" s="14" t="str">
        <x:v>英文</x:v>
      </x:c>
      <x:c r="E339" s="15" t="str">
        <x:v>未处理</x:v>
      </x:c>
      <x:c r="F339" s="15" t="str"/>
      <x:c r="G339" s="16" t="str">
        <x:v>https://doi.org/10.2307/1412107</x:v>
      </x:c>
      <x:c r="H339" s="14" t="str">
        <x:v>B05；B06</x:v>
      </x:c>
      <x:c r="I339" s="14" t="str">
        <x:v>Spearman</x:v>
      </x:c>
      <x:c r="J339" s="18" t="n">
        <x:v>1904</x:v>
      </x:c>
      <x:c r="K339" s="14" t="str">
        <x:v>文献</x:v>
      </x:c>
      <x:c r="L339" s="14" t="str">
        <x:v>选读</x:v>
      </x:c>
      <x:c r="M339" s="14" t="str">
        <x:v>未取得全文；页面响应不能证明全文权限。</x:v>
      </x:c>
      <x:c r="N339" s="14" t="str">
        <x:v>从 DOI 或出版社页查看全文；也可使用学校图书馆或作者公开版本。</x:v>
      </x:c>
      <x:c r="O339" s="14" t="str">
        <x:v>因素分析的早期关键节点；历史背景不等于对其理论与价值前提的认可。</x:v>
      </x:c>
      <x:c r="P339" s="14" t="str">
        <x:v>10.2307/1412107</x:v>
      </x:c>
      <x:c r="Q339" s="14" t="str"/>
      <x:c r="R339" s="17"/>
      <x:c r="S339" s="14" t="str"/>
      <x:c r="T339" s="14" t="str"/>
      <x:c r="U339" s="19" t="n">
        <x:v>46303</x:v>
      </x:c>
    </x:row>
    <x:row r="340" ht="68" customHeight="1">
      <x:c r="A340" s="14" t="str">
        <x:v>D-7338DF16</x:v>
      </x:c>
      <x:c r="B340" s="14" t="str">
        <x:v>需人工获取</x:v>
      </x:c>
      <x:c r="C340" s="14" t="str">
        <x:v>Dynamic fit index cutoffs for confirmatory factor analysis models</x:v>
      </x:c>
      <x:c r="D340" s="14" t="str">
        <x:v>英文</x:v>
      </x:c>
      <x:c r="E340" s="15" t="str">
        <x:v>未处理</x:v>
      </x:c>
      <x:c r="F340" s="15" t="str"/>
      <x:c r="G340" s="16" t="str">
        <x:v>https://doi.org/10.1037/met0000425</x:v>
      </x:c>
      <x:c r="H340" s="14" t="str">
        <x:v>B06</x:v>
      </x:c>
      <x:c r="I340" s="14" t="str">
        <x:v>McNeish, D., &amp; Wolf, M. G.</x:v>
      </x:c>
      <x:c r="J340" s="18" t="n">
        <x:v>2023</x:v>
      </x:c>
      <x:c r="K340" s="14" t="str">
        <x:v>研究文献</x:v>
      </x:c>
      <x:c r="L340" s="14" t="str">
        <x:v>选读</x:v>
      </x:c>
      <x:c r="M340" s="14" t="str">
        <x:v>未取得全文；页面响应不能证明全文权限。</x:v>
      </x:c>
      <x:c r="N340" s="14" t="str">
        <x:v>从 DOI 或出版社页查看全文；也可使用学校图书馆或作者公开版本。</x:v>
      </x:c>
      <x:c r="O340" s="14" t="str">
        <x:v>**近年最重要的更新**：固定界值不合理，应按你自己模型的特征模拟出专属界值。配有在线工具</x:v>
      </x:c>
      <x:c r="P340" s="14" t="str">
        <x:v>10.1037/met0000425</x:v>
      </x:c>
      <x:c r="Q340" s="14" t="str"/>
      <x:c r="R340" s="17"/>
      <x:c r="S340" s="14" t="str"/>
      <x:c r="T340" s="14" t="str"/>
      <x:c r="U340" s="19" t="n">
        <x:v>46303</x:v>
      </x:c>
    </x:row>
    <x:row r="341" ht="68" customHeight="1">
      <x:c r="A341" s="14" t="str">
        <x:v>D-2C2DC569</x:v>
      </x:c>
      <x:c r="B341" s="14" t="str">
        <x:v>需人工获取</x:v>
      </x:c>
      <x:c r="C341" s="14" t="str">
        <x:v>dynamic fit index 在线工具（McNeish &amp; Wolf）</x:v>
      </x:c>
      <x:c r="D341" s="14" t="str">
        <x:v>英文</x:v>
      </x:c>
      <x:c r="E341" s="15" t="str">
        <x:v>未处理</x:v>
      </x:c>
      <x:c r="F341" s="15" t="str"/>
      <x:c r="G341" s="16" t="str">
        <x:v>https://dynamicfit.app/</x:v>
      </x:c>
      <x:c r="H341" s="14" t="str">
        <x:v>B06</x:v>
      </x:c>
      <x:c r="I341" s="14" t="str">
        <x:v>方法/软件项目</x:v>
      </x:c>
      <x:c r="J341" s="18" t="str"/>
      <x:c r="K341" s="14" t="str">
        <x:v>教材 / 说明书 / 网页</x:v>
      </x:c>
      <x:c r="L341" s="14" t="str">
        <x:v>选读</x:v>
      </x:c>
      <x:c r="M341" s="14" t="str">
        <x:v>站点要求登录、订阅或限制自动访问。</x:v>
      </x:c>
      <x:c r="N341" s="14" t="str">
        <x:v>打开官方入口，使用站点提供的下载功能；网页教程可继续在线使用。</x:v>
      </x:c>
      <x:c r="O341" s="14" t="str">
        <x:v>本条目的方法说明、参数、示例或诊断入口。</x:v>
      </x:c>
      <x:c r="P341" s="14" t="str"/>
      <x:c r="Q341" s="14" t="str"/>
      <x:c r="R341" s="17"/>
      <x:c r="S341" s="14" t="str"/>
      <x:c r="T341" s="14" t="str"/>
      <x:c r="U341" s="19" t="n">
        <x:v>46303</x:v>
      </x:c>
    </x:row>
    <x:row r="342" ht="68" customHeight="1">
      <x:c r="A342" s="14" t="str">
        <x:v>D-9CD8BD9A</x:v>
      </x:c>
      <x:c r="B342" s="14" t="str">
        <x:v>需人工获取</x:v>
      </x:c>
      <x:c r="C342" s="14" t="str">
        <x:v>In search of golden rules: Comment on hypothesis-testing approaches to setting cutoff values for fit indexes</x:v>
      </x:c>
      <x:c r="D342" s="14" t="str">
        <x:v>英文</x:v>
      </x:c>
      <x:c r="E342" s="15" t="str">
        <x:v>未处理</x:v>
      </x:c>
      <x:c r="F342" s="15" t="str"/>
      <x:c r="G342" s="16" t="str">
        <x:v>https://doi.org/10.1207/s15328007sem1103_2</x:v>
      </x:c>
      <x:c r="H342" s="14" t="str">
        <x:v>B06</x:v>
      </x:c>
      <x:c r="I342" s="14" t="str">
        <x:v>Marsh, H. W., Hau, K.-T., &amp; Wen, Z.</x:v>
      </x:c>
      <x:c r="J342" s="18" t="n">
        <x:v>2004</x:v>
      </x:c>
      <x:c r="K342" s="14" t="str">
        <x:v>研究文献</x:v>
      </x:c>
      <x:c r="L342" s="14" t="str">
        <x:v>选读</x:v>
      </x:c>
      <x:c r="M342" s="14" t="str">
        <x:v>未取得全文；页面响应不能证明全文权限。</x:v>
      </x:c>
      <x:c r="N342" s="14" t="str">
        <x:v>从 DOI 或出版社页查看全文；也可使用学校图书馆或作者公开版本。</x:v>
      </x:c>
      <x:c r="O342" s="14" t="str">
        <x:v>直接批评把 Hu &amp; Bentler 的界值当作硬标准的做法。温忠麟是作者之一</x:v>
      </x:c>
      <x:c r="P342" s="14" t="str">
        <x:v>10.1207/s15328007sem1103_2</x:v>
      </x:c>
      <x:c r="Q342" s="14" t="str"/>
      <x:c r="R342" s="17"/>
      <x:c r="S342" s="14" t="str"/>
      <x:c r="T342" s="14" t="str"/>
      <x:c r="U342" s="19" t="n">
        <x:v>46303</x:v>
      </x:c>
    </x:row>
    <x:row r="343" ht="68" customHeight="1">
      <x:c r="A343" s="14" t="str">
        <x:v>D-87642880</x:v>
      </x:c>
      <x:c r="B343" s="14" t="str">
        <x:v>需人工获取</x:v>
      </x:c>
      <x:c r="C343" s="14" t="str">
        <x:v>Model modifications in covariance structure analysis: The problem of capitalization on chance</x:v>
      </x:c>
      <x:c r="D343" s="14" t="str">
        <x:v>英文</x:v>
      </x:c>
      <x:c r="E343" s="15" t="str">
        <x:v>未处理</x:v>
      </x:c>
      <x:c r="F343" s="15" t="str"/>
      <x:c r="G343" s="16" t="str">
        <x:v>https://doi.org/10.1037/0033-2909.111.3.490</x:v>
      </x:c>
      <x:c r="H343" s="14" t="str">
        <x:v>B06</x:v>
      </x:c>
      <x:c r="I343" s="14" t="str">
        <x:v>MacCallum, R. C., Roznowski, M., &amp; Necowitz, L. B.</x:v>
      </x:c>
      <x:c r="J343" s="18" t="n">
        <x:v>1992</x:v>
      </x:c>
      <x:c r="K343" s="14" t="str">
        <x:v>研究文献</x:v>
      </x:c>
      <x:c r="L343" s="14" t="str">
        <x:v>选读</x:v>
      </x:c>
      <x:c r="M343" s="14" t="str">
        <x:v>未取得全文；页面响应不能证明全文权限。</x:v>
      </x:c>
      <x:c r="N343" s="14" t="str">
        <x:v>从 DOI 或出版社页查看全文；也可使用学校图书馆或作者公开版本。</x:v>
      </x:c>
      <x:c r="O343" s="14" t="str">
        <x:v>按修正指数改模型为什么危险，用模拟给出了答案</x:v>
      </x:c>
      <x:c r="P343" s="14" t="str">
        <x:v>10.1037/0033-2909.111.3.490</x:v>
      </x:c>
      <x:c r="Q343" s="14" t="str"/>
      <x:c r="R343" s="17"/>
      <x:c r="S343" s="14" t="str"/>
      <x:c r="T343" s="14" t="str"/>
      <x:c r="U343" s="19" t="n">
        <x:v>46303</x:v>
      </x:c>
    </x:row>
    <x:row r="344" ht="68" customHeight="1">
      <x:c r="A344" s="14" t="str">
        <x:v>D-111FF5DE</x:v>
      </x:c>
      <x:c r="B344" s="14" t="str">
        <x:v>需人工获取</x:v>
      </x:c>
      <x:c r="C344" s="14" t="str">
        <x:v>Simultaneous administration of the Rosenberg Self-Esteem Scale in 53 nations: Exploring the universal and culture-specific features of global self-esteem</x:v>
      </x:c>
      <x:c r="D344" s="14" t="str">
        <x:v>英文</x:v>
      </x:c>
      <x:c r="E344" s="15" t="str">
        <x:v>未处理</x:v>
      </x:c>
      <x:c r="F344" s="15" t="str"/>
      <x:c r="G344" s="16" t="str">
        <x:v>https://doi.org/10.1037/0022-3514.89.4.623</x:v>
      </x:c>
      <x:c r="H344" s="14" t="str">
        <x:v>B06</x:v>
      </x:c>
      <x:c r="I344" s="14" t="str">
        <x:v>Schmitt, D. P., &amp; Allik, J.</x:v>
      </x:c>
      <x:c r="J344" s="18" t="n">
        <x:v>2005</x:v>
      </x:c>
      <x:c r="K344" s="14" t="str">
        <x:v>研究文献</x:v>
      </x:c>
      <x:c r="L344" s="14" t="str">
        <x:v>选读</x:v>
      </x:c>
      <x:c r="M344" s="14" t="str">
        <x:v>未取得全文；页面响应不能证明全文权限。</x:v>
      </x:c>
      <x:c r="N344" s="14" t="str">
        <x:v>从 DOI 或出版社页查看全文；也可使用学校图书馆或作者公开版本。</x:v>
      </x:c>
      <x:c r="O344" s="14" t="str">
        <x:v>53 国、28 种语言的量表结构与可比性案例；尤其适合观察反向题和跨文化解释如何限制均值比较</x:v>
      </x:c>
      <x:c r="P344" s="14" t="str">
        <x:v>10.1037/0022-3514.89.4.623</x:v>
      </x:c>
      <x:c r="Q344" s="14" t="str"/>
      <x:c r="R344" s="17"/>
      <x:c r="S344" s="14" t="str"/>
      <x:c r="T344" s="14" t="str"/>
      <x:c r="U344" s="19" t="n">
        <x:v>46303</x:v>
      </x:c>
    </x:row>
    <x:row r="345" ht="68" customHeight="1">
      <x:c r="A345" s="14" t="str">
        <x:v>D-3AE9B2F6</x:v>
      </x:c>
      <x:c r="B345" s="14" t="str">
        <x:v>需人工获取</x:v>
      </x:c>
      <x:c r="C345" s="14" t="str">
        <x:v>Why full, partial, or approximate measurement invariance are not a prerequisite for meaningful and valid group comparisons</x:v>
      </x:c>
      <x:c r="D345" s="14" t="str">
        <x:v>英文</x:v>
      </x:c>
      <x:c r="E345" s="15" t="str">
        <x:v>未处理</x:v>
      </x:c>
      <x:c r="F345" s="15" t="str"/>
      <x:c r="G345" s="16" t="str">
        <x:v>https://doi.org/10.1080/10705511.2023.2191292</x:v>
      </x:c>
      <x:c r="H345" s="14" t="str">
        <x:v>B09</x:v>
      </x:c>
      <x:c r="I345" s="14" t="str">
        <x:v>Robitzsch, A., &amp; Lüdtke, O.</x:v>
      </x:c>
      <x:c r="J345" s="18" t="n">
        <x:v>2023</x:v>
      </x:c>
      <x:c r="K345" s="14" t="str">
        <x:v>研究文献</x:v>
      </x:c>
      <x:c r="L345" s="14" t="str">
        <x:v>选读</x:v>
      </x:c>
      <x:c r="M345" s="14" t="str">
        <x:v>未取得全文；页面响应不能证明全文权限。</x:v>
      </x:c>
      <x:c r="N345" s="14" t="str">
        <x:v>从 DOI 或出版社页查看全文；也可使用学校图书馆或作者公开版本。</x:v>
      </x:c>
      <x:c r="O345" s="14" t="str">
        <x:v>**反方观点**：严格要求等值可能过度保守。看完两边再决定自己的立场</x:v>
      </x:c>
      <x:c r="P345" s="14" t="str">
        <x:v>10.1080/10705511.2023.2191292</x:v>
      </x:c>
      <x:c r="Q345" s="14" t="str"/>
      <x:c r="R345" s="17"/>
      <x:c r="S345" s="14" t="str"/>
      <x:c r="T345" s="14" t="str"/>
      <x:c r="U345" s="19" t="n">
        <x:v>46303</x:v>
      </x:c>
    </x:row>
    <x:row r="346" ht="68" customHeight="1">
      <x:c r="A346" s="14" t="str">
        <x:v>D-A3D45B43</x:v>
      </x:c>
      <x:c r="B346" s="14" t="str">
        <x:v>需人工获取</x:v>
      </x:c>
      <x:c r="C346" s="14" t="str">
        <x:v>Estimation of a Model with Multiple Indicators and Multiple Causes of a Single Latent Variable</x:v>
      </x:c>
      <x:c r="D346" s="14" t="str">
        <x:v>英文</x:v>
      </x:c>
      <x:c r="E346" s="15" t="str">
        <x:v>未处理</x:v>
      </x:c>
      <x:c r="F346" s="15" t="str"/>
      <x:c r="G346" s="16" t="str">
        <x:v>https://doi.org/10.1080/01621459.1975.10482485</x:v>
      </x:c>
      <x:c r="H346" s="14" t="str">
        <x:v>B09；E03</x:v>
      </x:c>
      <x:c r="I346" s="14" t="str">
        <x:v>Jöreskog; Goldberger</x:v>
      </x:c>
      <x:c r="J346" s="18" t="n">
        <x:v>1975</x:v>
      </x:c>
      <x:c r="K346" s="14" t="str">
        <x:v>文献</x:v>
      </x:c>
      <x:c r="L346" s="14" t="str">
        <x:v>选读</x:v>
      </x:c>
      <x:c r="M346" s="14" t="str">
        <x:v>未取得全文；页面响应不能证明全文权限。</x:v>
      </x:c>
      <x:c r="N346" s="14" t="str">
        <x:v>从 DOI 或出版社页查看全文；也可使用学校图书馆或作者公开版本。</x:v>
      </x:c>
      <x:c r="O346" s="14" t="str">
        <x:v>纠正 v8 将 MIMIC 主要起源放在 1989 年的过晚定位。</x:v>
      </x:c>
      <x:c r="P346" s="14" t="str">
        <x:v>10.1080/01621459.1975.10482485</x:v>
      </x:c>
      <x:c r="Q346" s="14" t="str"/>
      <x:c r="R346" s="17"/>
      <x:c r="S346" s="14" t="str"/>
      <x:c r="T346" s="14" t="str"/>
      <x:c r="U346" s="19" t="n">
        <x:v>46303</x:v>
      </x:c>
    </x:row>
    <x:row r="347" ht="68" customHeight="1">
      <x:c r="A347" s="14" t="str">
        <x:v>D-46294897</x:v>
      </x:c>
      <x:c r="B347" s="14" t="str">
        <x:v>需人工获取</x:v>
      </x:c>
      <x:c r="C347" s="14" t="str">
        <x:v>A Monte Carlo simulation study to assess the appropriateness of traditional and newer approaches to test for measurement invariance</x:v>
      </x:c>
      <x:c r="D347" s="14" t="str">
        <x:v>英文</x:v>
      </x:c>
      <x:c r="E347" s="15" t="str">
        <x:v>未处理</x:v>
      </x:c>
      <x:c r="F347" s="15" t="str"/>
      <x:c r="G347" s="16" t="str">
        <x:v>https://doi.org/10.1080/10705511.2018.1561293</x:v>
      </x:c>
      <x:c r="H347" s="14" t="str">
        <x:v>B10</x:v>
      </x:c>
      <x:c r="I347" s="14" t="str">
        <x:v>Pokropek, A., Davidov, E., &amp; Schmidt, P.</x:v>
      </x:c>
      <x:c r="J347" s="18" t="n">
        <x:v>2019</x:v>
      </x:c>
      <x:c r="K347" s="14" t="str">
        <x:v>研究文献</x:v>
      </x:c>
      <x:c r="L347" s="14" t="str">
        <x:v>选读</x:v>
      </x:c>
      <x:c r="M347" s="14" t="str">
        <x:v>未取得全文；页面响应不能证明全文权限。</x:v>
      </x:c>
      <x:c r="N347" s="14" t="str">
        <x:v>从 DOI 或出版社页查看全文；也可使用学校图书馆或作者公开版本。</x:v>
      </x:c>
      <x:c r="O347" s="14" t="str">
        <x:v>**对齐法在什么条件下可靠**：不等值比例过高时它也会失效</x:v>
      </x:c>
      <x:c r="P347" s="14" t="str">
        <x:v>10.1080/10705511.2018.1561293</x:v>
      </x:c>
      <x:c r="Q347" s="14" t="str"/>
      <x:c r="R347" s="17"/>
      <x:c r="S347" s="14" t="str"/>
      <x:c r="T347" s="14" t="str"/>
      <x:c r="U347" s="19" t="n">
        <x:v>46303</x:v>
      </x:c>
    </x:row>
    <x:row r="348" ht="68" customHeight="1">
      <x:c r="A348" s="14" t="str">
        <x:v>D-4411B3A0</x:v>
      </x:c>
      <x:c r="B348" s="14" t="str">
        <x:v>需人工获取</x:v>
      </x:c>
      <x:c r="C348" s="14" t="str">
        <x:v>Exploratory latent structure analysis using both identifiable and unidentifiable models</x:v>
      </x:c>
      <x:c r="D348" s="14" t="str">
        <x:v>英文</x:v>
      </x:c>
      <x:c r="E348" s="15" t="str">
        <x:v>未处理</x:v>
      </x:c>
      <x:c r="F348" s="15" t="str"/>
      <x:c r="G348" s="16" t="str">
        <x:v>https://doi.org/10.1093/biomet/61.2.215</x:v>
      </x:c>
      <x:c r="H348" s="14" t="str">
        <x:v>B10；B14；B21</x:v>
      </x:c>
      <x:c r="I348" s="14" t="str">
        <x:v>Goodman</x:v>
      </x:c>
      <x:c r="J348" s="18" t="n">
        <x:v>1974</x:v>
      </x:c>
      <x:c r="K348" s="14" t="str">
        <x:v>文献</x:v>
      </x:c>
      <x:c r="L348" s="14" t="str">
        <x:v>选读</x:v>
      </x:c>
      <x:c r="M348" s="14" t="str">
        <x:v>未取得全文；页面响应不能证明全文权限。</x:v>
      </x:c>
      <x:c r="N348" s="14" t="str">
        <x:v>从 DOI 或出版社页查看全文；也可使用学校图书馆或作者公开版本。</x:v>
      </x:c>
      <x:c r="O348" s="14" t="str">
        <x:v>潜类别传统中的可识别性与最大似然；不是 LCA 的唯一最初起点。</x:v>
      </x:c>
      <x:c r="P348" s="14" t="str">
        <x:v>10.1093/biomet/61.2.215</x:v>
      </x:c>
      <x:c r="Q348" s="14" t="str"/>
      <x:c r="R348" s="17"/>
      <x:c r="S348" s="14" t="str"/>
      <x:c r="T348" s="14" t="str"/>
      <x:c r="U348" s="19" t="n">
        <x:v>46303</x:v>
      </x:c>
    </x:row>
    <x:row r="349" ht="68" customHeight="1">
      <x:c r="A349" s="14" t="str">
        <x:v>D-5F7CDD33</x:v>
      </x:c>
      <x:c r="B349" s="14" t="str">
        <x:v>需人工获取</x:v>
      </x:c>
      <x:c r="C349" s="14" t="str">
        <x:v>Controversy and the Rasch model: A characteristic of incompatible paradigms?</x:v>
      </x:c>
      <x:c r="D349" s="14" t="str">
        <x:v>英文</x:v>
      </x:c>
      <x:c r="E349" s="15" t="str">
        <x:v>未处理</x:v>
      </x:c>
      <x:c r="F349" s="15" t="str"/>
      <x:c r="G349" s="16" t="str">
        <x:v>https://doi.org/10.1097/01.mlr.0000103528.48582.7c</x:v>
      </x:c>
      <x:c r="H349" s="14" t="str">
        <x:v>B11</x:v>
      </x:c>
      <x:c r="I349" s="14" t="str">
        <x:v>Andrich, D.</x:v>
      </x:c>
      <x:c r="J349" s="18" t="n">
        <x:v>2004</x:v>
      </x:c>
      <x:c r="K349" s="14" t="str">
        <x:v>研究文献</x:v>
      </x:c>
      <x:c r="L349" s="14" t="str">
        <x:v>选读</x:v>
      </x:c>
      <x:c r="M349" s="14" t="str">
        <x:v>未取得全文；页面响应不能证明全文权限。</x:v>
      </x:c>
      <x:c r="N349" s="14" t="str">
        <x:v>从 DOI 或出版社页查看全文；也可使用学校图书馆或作者公开版本。</x:v>
      </x:c>
      <x:c r="O349" s="14" t="str">
        <x:v>**Rasch 派与 IRT 派的哲学分歧**：数据不合模型时改题还是改模型</x:v>
      </x:c>
      <x:c r="P349" s="14" t="str">
        <x:v>10.1097/01.mlr.0000103528.48582.7c</x:v>
      </x:c>
      <x:c r="Q349" s="14" t="str"/>
      <x:c r="R349" s="17"/>
      <x:c r="S349" s="14" t="str"/>
      <x:c r="T349" s="14" t="str"/>
      <x:c r="U349" s="19" t="n">
        <x:v>46303</x:v>
      </x:c>
    </x:row>
    <x:row r="350" ht="68" customHeight="1">
      <x:c r="A350" s="14" t="str">
        <x:v>D-C7E2F75F</x:v>
      </x:c>
      <x:c r="B350" s="14" t="str">
        <x:v>需人工获取</x:v>
      </x:c>
      <x:c r="C350" s="14" t="str">
        <x:v>When does measurement invariance matter?</x:v>
      </x:c>
      <x:c r="D350" s="14" t="str">
        <x:v>英文</x:v>
      </x:c>
      <x:c r="E350" s="15" t="str">
        <x:v>未处理</x:v>
      </x:c>
      <x:c r="F350" s="15" t="str"/>
      <x:c r="G350" s="16" t="str">
        <x:v>https://doi.org/10.1097/01.mlr.0000245143.08679.cc</x:v>
      </x:c>
      <x:c r="H350" s="14" t="str">
        <x:v>B13</x:v>
      </x:c>
      <x:c r="I350" s="14" t="str">
        <x:v>Borsboom, D.</x:v>
      </x:c>
      <x:c r="J350" s="18" t="n">
        <x:v>2006</x:v>
      </x:c>
      <x:c r="K350" s="14" t="str">
        <x:v>研究文献</x:v>
      </x:c>
      <x:c r="L350" s="14" t="str">
        <x:v>选读</x:v>
      </x:c>
      <x:c r="M350" s="14" t="str">
        <x:v>未取得全文；页面响应不能证明全文权限。</x:v>
      </x:c>
      <x:c r="N350" s="14" t="str">
        <x:v>从 DOI 或出版社页查看全文；也可使用学校图书馆或作者公开版本。</x:v>
      </x:c>
      <x:c r="O350" s="14" t="str">
        <x:v>**DIF 与测量等值的关系，以及什么时候真的重要**</x:v>
      </x:c>
      <x:c r="P350" s="14" t="str">
        <x:v>10.1097/01.mlr.0000245143.08679.cc</x:v>
      </x:c>
      <x:c r="Q350" s="14" t="str"/>
      <x:c r="R350" s="17"/>
      <x:c r="S350" s="14" t="str"/>
      <x:c r="T350" s="14" t="str"/>
      <x:c r="U350" s="19" t="n">
        <x:v>46303</x:v>
      </x:c>
    </x:row>
    <x:row r="351" ht="68" customHeight="1">
      <x:c r="A351" s="14" t="str">
        <x:v>D-0B66884F</x:v>
      </x:c>
      <x:c r="B351" s="14" t="str">
        <x:v>需人工获取</x:v>
      </x:c>
      <x:c r="C351" s="14" t="str">
        <x:v>Understanding linkages among mixture models</x:v>
      </x:c>
      <x:c r="D351" s="14" t="str">
        <x:v>英文</x:v>
      </x:c>
      <x:c r="E351" s="15" t="str">
        <x:v>未处理</x:v>
      </x:c>
      <x:c r="F351" s="15" t="str"/>
      <x:c r="G351" s="16" t="str">
        <x:v>https://doi.org/10.1080/00273171.2013.827564</x:v>
      </x:c>
      <x:c r="H351" s="14" t="str">
        <x:v>B14</x:v>
      </x:c>
      <x:c r="I351" s="14" t="str">
        <x:v>Sterba, S. K.</x:v>
      </x:c>
      <x:c r="J351" s="18" t="n">
        <x:v>2013</x:v>
      </x:c>
      <x:c r="K351" s="14" t="str">
        <x:v>研究文献</x:v>
      </x:c>
      <x:c r="L351" s="14" t="str">
        <x:v>选读</x:v>
      </x:c>
      <x:c r="M351" s="14" t="str">
        <x:v>未取得全文；页面响应不能证明全文权限。</x:v>
      </x:c>
      <x:c r="N351" s="14" t="str">
        <x:v>从 DOI 或出版社页查看全文；也可使用学校图书馆或作者公开版本。</x:v>
      </x:c>
      <x:c r="O351" s="14" t="str">
        <x:v>混合模型家族的关系梳理，帮助判断该用哪一个</x:v>
      </x:c>
      <x:c r="P351" s="14" t="str">
        <x:v>10.1080/00273171.2013.827564</x:v>
      </x:c>
      <x:c r="Q351" s="14" t="str"/>
      <x:c r="R351" s="17"/>
      <x:c r="S351" s="14" t="str"/>
      <x:c r="T351" s="14" t="str"/>
      <x:c r="U351" s="19" t="n">
        <x:v>46303</x:v>
      </x:c>
    </x:row>
    <x:row r="352" ht="68" customHeight="1">
      <x:c r="A352" s="14" t="str">
        <x:v>D-B4E07A2C</x:v>
      </x:c>
      <x:c r="B352" s="14" t="str">
        <x:v>需人工获取</x:v>
      </x:c>
      <x:c r="C352" s="14" t="str">
        <x:v>Distributional assumptions of growth mixture models: Implications for overextraction of latent trajectory classes</x:v>
      </x:c>
      <x:c r="D352" s="14" t="str">
        <x:v>英文</x:v>
      </x:c>
      <x:c r="E352" s="15" t="str">
        <x:v>未处理</x:v>
      </x:c>
      <x:c r="F352" s="15" t="str"/>
      <x:c r="G352" s="16" t="str">
        <x:v>https://doi.org/10.1037/1082-989x.8.3.338</x:v>
      </x:c>
      <x:c r="H352" s="14" t="str">
        <x:v>B14；E06</x:v>
      </x:c>
      <x:c r="I352" s="14" t="str">
        <x:v>Bauer, D. J., &amp; Curran, P. J.</x:v>
      </x:c>
      <x:c r="J352" s="18" t="n">
        <x:v>2003</x:v>
      </x:c>
      <x:c r="K352" s="14" t="str">
        <x:v>研究文献</x:v>
      </x:c>
      <x:c r="L352" s="14" t="str">
        <x:v>选读</x:v>
      </x:c>
      <x:c r="M352" s="14" t="str">
        <x:v>未取得全文；页面响应不能证明全文权限。</x:v>
      </x:c>
      <x:c r="N352" s="14" t="str">
        <x:v>从 DOI 或出版社页查看全文；也可使用学校图书馆或作者公开版本。</x:v>
      </x:c>
      <x:c r="O352" s="14" t="str">
        <x:v>**非正态的单一总体也会被拆成多个「类」**。这是这类方法最根本的风险</x:v>
      </x:c>
      <x:c r="P352" s="14" t="str">
        <x:v>10.1037/1082-989x.8.3.338</x:v>
      </x:c>
      <x:c r="Q352" s="14" t="str"/>
      <x:c r="R352" s="17"/>
      <x:c r="S352" s="14" t="str"/>
      <x:c r="T352" s="14" t="str"/>
      <x:c r="U352" s="19" t="n">
        <x:v>46303</x:v>
      </x:c>
    </x:row>
    <x:row r="353" ht="68" customHeight="1">
      <x:c r="A353" s="14" t="str">
        <x:v>D-C4EDF34A</x:v>
      </x:c>
      <x:c r="B353" s="14" t="str">
        <x:v>需人工获取</x:v>
      </x:c>
      <x:c r="C353" s="14" t="str">
        <x:v>Evidence that psychopathology symptom networks have limited replicability</x:v>
      </x:c>
      <x:c r="D353" s="14" t="str">
        <x:v>英文</x:v>
      </x:c>
      <x:c r="E353" s="15" t="str">
        <x:v>未处理</x:v>
      </x:c>
      <x:c r="F353" s="15" t="str"/>
      <x:c r="G353" s="16" t="str">
        <x:v>https://doi.org/10.31234/osf.io/erw8m</x:v>
      </x:c>
      <x:c r="H353" s="14" t="str">
        <x:v>B15</x:v>
      </x:c>
      <x:c r="I353" s="14" t="str">
        <x:v>Forbes, M. K., Wright, A. G. C., Markon, K. E., &amp; Krueger, R. F.</x:v>
      </x:c>
      <x:c r="J353" s="18" t="n">
        <x:v>2017</x:v>
      </x:c>
      <x:c r="K353" s="14" t="str">
        <x:v>研究文献</x:v>
      </x:c>
      <x:c r="L353" s="14" t="str">
        <x:v>选读</x:v>
      </x:c>
      <x:c r="M353" s="14" t="str">
        <x:v>未取得全文；页面响应不能证明全文权限。</x:v>
      </x:c>
      <x:c r="N353" s="14" t="str">
        <x:v>从 DOI 或出版社页查看全文；也可使用学校图书馆或作者公开版本。</x:v>
      </x:c>
      <x:c r="O353" s="14" t="str">
        <x:v>**复制性的严厉质疑**：不同样本得到的网络结构差异很大 链接为作者公开稿或工作论文，可能与正式发表版在年份、题名或内容上不同；引用时请核对所用版本。</x:v>
      </x:c>
      <x:c r="P353" s="14" t="str">
        <x:v>10.31234/osf.io/erw8m</x:v>
      </x:c>
      <x:c r="Q353" s="14" t="str"/>
      <x:c r="R353" s="17"/>
      <x:c r="S353" s="14" t="str"/>
      <x:c r="T353" s="14" t="str"/>
      <x:c r="U353" s="19" t="n">
        <x:v>46303</x:v>
      </x:c>
    </x:row>
    <x:row r="354" ht="68" customHeight="1">
      <x:c r="A354" s="14" t="str">
        <x:v>D-9004E09F</x:v>
      </x:c>
      <x:c r="B354" s="14" t="str">
        <x:v>需人工获取</x:v>
      </x:c>
      <x:c r="C354" s="14" t="str">
        <x:v>What do centrality measures measure in psychological networks?</x:v>
      </x:c>
      <x:c r="D354" s="14" t="str">
        <x:v>英文</x:v>
      </x:c>
      <x:c r="E354" s="15" t="str">
        <x:v>未处理</x:v>
      </x:c>
      <x:c r="F354" s="15" t="str"/>
      <x:c r="G354" s="16" t="str">
        <x:v>https://doi.org/10.1037/abn0000446</x:v>
      </x:c>
      <x:c r="H354" s="14" t="str">
        <x:v>B15</x:v>
      </x:c>
      <x:c r="I354" s="14" t="str">
        <x:v>Bringmann, L. F., Elmer, T., Epskamp, S., et al.</x:v>
      </x:c>
      <x:c r="J354" s="18" t="n">
        <x:v>2019</x:v>
      </x:c>
      <x:c r="K354" s="14" t="str">
        <x:v>研究文献</x:v>
      </x:c>
      <x:c r="L354" s="14" t="str">
        <x:v>选读</x:v>
      </x:c>
      <x:c r="M354" s="14" t="str">
        <x:v>未取得全文；页面响应不能证明全文权限。</x:v>
      </x:c>
      <x:c r="N354" s="14" t="str">
        <x:v>从 DOI 或出版社页查看全文；也可使用学校图书馆或作者公开版本。</x:v>
      </x:c>
      <x:c r="O354" s="14" t="str">
        <x:v>**中心性到底测的是什么**：「中心节点=干预靶点」的推论缺乏依据</x:v>
      </x:c>
      <x:c r="P354" s="14" t="str">
        <x:v>10.1037/abn0000446</x:v>
      </x:c>
      <x:c r="Q354" s="14" t="str"/>
      <x:c r="R354" s="17"/>
      <x:c r="S354" s="14" t="str"/>
      <x:c r="T354" s="14" t="str"/>
      <x:c r="U354" s="19" t="n">
        <x:v>46303</x:v>
      </x:c>
    </x:row>
    <x:row r="355" ht="68" customHeight="1">
      <x:c r="A355" s="14" t="str">
        <x:v>D-5B1ACC1E</x:v>
      </x:c>
      <x:c r="B355" s="14" t="str">
        <x:v>需人工获取</x:v>
      </x:c>
      <x:c r="C355" s="14" t="str">
        <x:v>Predicting ethnic and racial discrimination: A meta-analysis of IAT criterion studies</x:v>
      </x:c>
      <x:c r="D355" s="14" t="str">
        <x:v>英文</x:v>
      </x:c>
      <x:c r="E355" s="15" t="str">
        <x:v>未处理</x:v>
      </x:c>
      <x:c r="F355" s="15" t="str"/>
      <x:c r="G355" s="16" t="str">
        <x:v>https://doi.org/10.1037/a0032734</x:v>
      </x:c>
      <x:c r="H355" s="14" t="str">
        <x:v>B16</x:v>
      </x:c>
      <x:c r="I355" s="14" t="str">
        <x:v>Oswald, F. L., Mitchell, G., Blanton, H., Jaccard, J., &amp; Tetlock, P. E.</x:v>
      </x:c>
      <x:c r="J355" s="18" t="n">
        <x:v>2013</x:v>
      </x:c>
      <x:c r="K355" s="14" t="str">
        <x:v>研究文献</x:v>
      </x:c>
      <x:c r="L355" s="14" t="str">
        <x:v>选读</x:v>
      </x:c>
      <x:c r="M355" s="14" t="str">
        <x:v>未取得全文；页面响应不能证明全文权限。</x:v>
      </x:c>
      <x:c r="N355" s="14" t="str">
        <x:v>从 DOI 或出版社页查看全文；也可使用学校图书馆或作者公开版本。</x:v>
      </x:c>
      <x:c r="O355" s="14" t="str">
        <x:v>**元分析显示 IAT 对外显行为的预测力很小**，这是该方法最重要的争议</x:v>
      </x:c>
      <x:c r="P355" s="14" t="str">
        <x:v>10.1037/a0032734</x:v>
      </x:c>
      <x:c r="Q355" s="14" t="str"/>
      <x:c r="R355" s="17"/>
      <x:c r="S355" s="14" t="str"/>
      <x:c r="T355" s="14" t="str"/>
      <x:c r="U355" s="19" t="n">
        <x:v>46303</x:v>
      </x:c>
    </x:row>
    <x:row r="356" ht="68" customHeight="1">
      <x:c r="A356" s="14" t="str">
        <x:v>D-22E4B55F</x:v>
      </x:c>
      <x:c r="B356" s="14" t="str">
        <x:v>需人工获取</x:v>
      </x:c>
      <x:c r="C356" s="14" t="str">
        <x:v>The Implicit Association Test: A method in search of a construct</x:v>
      </x:c>
      <x:c r="D356" s="14" t="str">
        <x:v>英文</x:v>
      </x:c>
      <x:c r="E356" s="15" t="str">
        <x:v>未处理</x:v>
      </x:c>
      <x:c r="F356" s="15" t="str"/>
      <x:c r="G356" s="16" t="str">
        <x:v>https://doi.org/10.1177/1745691619863798</x:v>
      </x:c>
      <x:c r="H356" s="14" t="str">
        <x:v>B16</x:v>
      </x:c>
      <x:c r="I356" s="14" t="str">
        <x:v>Schimmack, U.</x:v>
      </x:c>
      <x:c r="J356" s="18" t="n">
        <x:v>2021</x:v>
      </x:c>
      <x:c r="K356" s="14" t="str">
        <x:v>研究文献</x:v>
      </x:c>
      <x:c r="L356" s="14" t="str">
        <x:v>选读</x:v>
      </x:c>
      <x:c r="M356" s="14" t="str">
        <x:v>未取得全文；页面响应不能证明全文权限。</x:v>
      </x:c>
      <x:c r="N356" s="14" t="str">
        <x:v>从 DOI 或出版社页查看全文；也可使用学校图书馆或作者公开版本。</x:v>
      </x:c>
      <x:c r="O356" s="14" t="str">
        <x:v>**对 IAT 构念效度的系统质疑**，标题即立场</x:v>
      </x:c>
      <x:c r="P356" s="14" t="str">
        <x:v>10.1177/1745691619863798</x:v>
      </x:c>
      <x:c r="Q356" s="14" t="str"/>
      <x:c r="R356" s="17"/>
      <x:c r="S356" s="14" t="str"/>
      <x:c r="T356" s="14" t="str"/>
      <x:c r="U356" s="19" t="n">
        <x:v>46303</x:v>
      </x:c>
    </x:row>
    <x:row r="357" ht="68" customHeight="1">
      <x:c r="A357" s="14" t="str">
        <x:v>D-BA0C8986</x:v>
      </x:c>
      <x:c r="B357" s="14" t="str">
        <x:v>需人工获取</x:v>
      </x:c>
      <x:c r="C357" s="14" t="str">
        <x:v>How many trials are required for parameter estimation in diffusion modeling? A comparison of different optimization criteria</x:v>
      </x:c>
      <x:c r="D357" s="14" t="str">
        <x:v>英文</x:v>
      </x:c>
      <x:c r="E357" s="15" t="str">
        <x:v>未处理</x:v>
      </x:c>
      <x:c r="F357" s="15" t="str"/>
      <x:c r="G357" s="16" t="str">
        <x:v>https://doi.org/10.3758/s13428-016-0740-2</x:v>
      </x:c>
      <x:c r="H357" s="14" t="str">
        <x:v>B17</x:v>
      </x:c>
      <x:c r="I357" s="14" t="str">
        <x:v>Lerche, V., Voss, A., &amp; Nagler, M.</x:v>
      </x:c>
      <x:c r="J357" s="18" t="n">
        <x:v>2017</x:v>
      </x:c>
      <x:c r="K357" s="14" t="str">
        <x:v>研究文献</x:v>
      </x:c>
      <x:c r="L357" s="14" t="str">
        <x:v>选读</x:v>
      </x:c>
      <x:c r="M357" s="14" t="str">
        <x:v>未取得全文；页面响应不能证明全文权限。</x:v>
      </x:c>
      <x:c r="N357" s="14" t="str">
        <x:v>从 DOI 或出版社页查看全文；也可使用学校图书馆或作者公开版本。</x:v>
      </x:c>
      <x:c r="O357" s="14" t="str">
        <x:v>**试次太少时 a 与 v 会互相权衡而不可辨识**。给出各条件下的最低试次数</x:v>
      </x:c>
      <x:c r="P357" s="14" t="str">
        <x:v>10.3758/s13428-016-0740-2</x:v>
      </x:c>
      <x:c r="Q357" s="14" t="str"/>
      <x:c r="R357" s="17"/>
      <x:c r="S357" s="14" t="str"/>
      <x:c r="T357" s="14" t="str"/>
      <x:c r="U357" s="19" t="n">
        <x:v>46303</x:v>
      </x:c>
    </x:row>
    <x:row r="358" ht="68" customHeight="1">
      <x:c r="A358" s="14" t="str">
        <x:v>D-76A3D4D2</x:v>
      </x:c>
      <x:c r="B358" s="14" t="str">
        <x:v>需人工获取</x:v>
      </x:c>
      <x:c r="C358" s="14" t="str">
        <x:v>Definition and interpretation of interaction effects</x:v>
      </x:c>
      <x:c r="D358" s="14" t="str">
        <x:v>英文</x:v>
      </x:c>
      <x:c r="E358" s="15" t="str">
        <x:v>未处理</x:v>
      </x:c>
      <x:c r="F358" s="15" t="str"/>
      <x:c r="G358" s="16" t="str">
        <x:v>https://doi.org/10.1037/0033-2909.105.1.143</x:v>
      </x:c>
      <x:c r="H358" s="14" t="str">
        <x:v>C02</x:v>
      </x:c>
      <x:c r="I358" s="14" t="str">
        <x:v>Rosnow, R. L., &amp; Rosenthal, R.</x:v>
      </x:c>
      <x:c r="J358" s="18" t="n">
        <x:v>1989</x:v>
      </x:c>
      <x:c r="K358" s="14" t="str">
        <x:v>研究文献</x:v>
      </x:c>
      <x:c r="L358" s="14" t="str">
        <x:v>选读</x:v>
      </x:c>
      <x:c r="M358" s="14" t="str">
        <x:v>未取得全文；页面响应不能证明全文权限。</x:v>
      </x:c>
      <x:c r="N358" s="14" t="str">
        <x:v>从 DOI 或出版社页查看全文；也可使用学校图书馆或作者公开版本。</x:v>
      </x:c>
      <x:c r="O358" s="14" t="str">
        <x:v>**交互效应最常见的误读**：显著性的差异不等于差异的显著性</x:v>
      </x:c>
      <x:c r="P358" s="14" t="str">
        <x:v>10.1037/0033-2909.105.1.143</x:v>
      </x:c>
      <x:c r="Q358" s="14" t="str"/>
      <x:c r="R358" s="17"/>
      <x:c r="S358" s="14" t="str"/>
      <x:c r="T358" s="14" t="str"/>
      <x:c r="U358" s="19" t="n">
        <x:v>46303</x:v>
      </x:c>
    </x:row>
    <x:row r="359" ht="68" customHeight="1">
      <x:c r="A359" s="14" t="str">
        <x:v>D-8B26F78D</x:v>
      </x:c>
      <x:c r="B359" s="14" t="str">
        <x:v>需人工获取</x:v>
      </x:c>
      <x:c r="C359" s="14" t="str">
        <x:v>HARKing: Hypothesizing after the results are known</x:v>
      </x:c>
      <x:c r="D359" s="14" t="str">
        <x:v>英文</x:v>
      </x:c>
      <x:c r="E359" s="15" t="str">
        <x:v>未处理</x:v>
      </x:c>
      <x:c r="F359" s="15" t="str"/>
      <x:c r="G359" s="16" t="str">
        <x:v>https://doi.org/10.1207/s15327957pspr0203_4</x:v>
      </x:c>
      <x:c r="H359" s="14" t="str">
        <x:v>C03</x:v>
      </x:c>
      <x:c r="I359" s="14" t="str">
        <x:v>Kerr, N. L.</x:v>
      </x:c>
      <x:c r="J359" s="18" t="n">
        <x:v>1998</x:v>
      </x:c>
      <x:c r="K359" s="14" t="str">
        <x:v>研究文献</x:v>
      </x:c>
      <x:c r="L359" s="14" t="str">
        <x:v>选读</x:v>
      </x:c>
      <x:c r="M359" s="14" t="str">
        <x:v>未取得全文；页面响应不能证明全文权限。</x:v>
      </x:c>
      <x:c r="N359" s="14" t="str">
        <x:v>从 DOI 或出版社页查看全文；也可使用学校图书馆或作者公开版本。</x:v>
      </x:c>
      <x:c r="O359" s="14" t="str">
        <x:v>**把事后发现说成事前预测**是可重复性危机的核心问题之一</x:v>
      </x:c>
      <x:c r="P359" s="14" t="str">
        <x:v>10.1207/s15327957pspr0203_4</x:v>
      </x:c>
      <x:c r="Q359" s="14" t="str"/>
      <x:c r="R359" s="17"/>
      <x:c r="S359" s="14" t="str"/>
      <x:c r="T359" s="14" t="str"/>
      <x:c r="U359" s="19" t="n">
        <x:v>46303</x:v>
      </x:c>
    </x:row>
    <x:row r="360" ht="68" customHeight="1">
      <x:c r="A360" s="14" t="str">
        <x:v>D-39C311AA</x:v>
      </x:c>
      <x:c r="B360" s="14" t="str">
        <x:v>需人工获取</x:v>
      </x:c>
      <x:c r="C360" s="14" t="str">
        <x:v>Mixed-effects models in psychophysiology</x:v>
      </x:c>
      <x:c r="D360" s="14" t="str">
        <x:v>英文</x:v>
      </x:c>
      <x:c r="E360" s="15" t="str">
        <x:v>未处理</x:v>
      </x:c>
      <x:c r="F360" s="15" t="str"/>
      <x:c r="G360" s="16" t="str">
        <x:v>https://doi.org/10.1111/1469-8986.3710013</x:v>
      </x:c>
      <x:c r="H360" s="14" t="str">
        <x:v>C04</x:v>
      </x:c>
      <x:c r="I360" s="14" t="str">
        <x:v>Bagiella, E., Sloan, R. P., &amp; Heitjan, D. F.</x:v>
      </x:c>
      <x:c r="J360" s="18" t="n">
        <x:v>2000</x:v>
      </x:c>
      <x:c r="K360" s="14" t="str">
        <x:v>研究文献</x:v>
      </x:c>
      <x:c r="L360" s="14" t="str">
        <x:v>选读</x:v>
      </x:c>
      <x:c r="M360" s="14" t="str">
        <x:v>未取得全文；页面响应不能证明全文权限。</x:v>
      </x:c>
      <x:c r="N360" s="14" t="str">
        <x:v>从 DOI 或出版社页查看全文；也可使用学校图书馆或作者公开版本。</x:v>
      </x:c>
      <x:c r="O360" s="14" t="str">
        <x:v>**重复测量 ANOVA 的成列删除是致命伤**，混合模型是更好的默认</x:v>
      </x:c>
      <x:c r="P360" s="14" t="str">
        <x:v>10.1111/1469-8986.3710013</x:v>
      </x:c>
      <x:c r="Q360" s="14" t="str"/>
      <x:c r="R360" s="17"/>
      <x:c r="S360" s="14" t="str"/>
      <x:c r="T360" s="14" t="str"/>
      <x:c r="U360" s="19" t="n">
        <x:v>46303</x:v>
      </x:c>
    </x:row>
    <x:row r="361" ht="68" customHeight="1">
      <x:c r="A361" s="14" t="str">
        <x:v>D-E7DF92AE</x:v>
      </x:c>
      <x:c r="B361" s="14" t="str">
        <x:v>需人工获取</x:v>
      </x:c>
      <x:c r="C361" s="14" t="str">
        <x:v>A paradox in the interpretation of group comparisons</x:v>
      </x:c>
      <x:c r="D361" s="14" t="str">
        <x:v>英文</x:v>
      </x:c>
      <x:c r="E361" s="15" t="str">
        <x:v>未处理</x:v>
      </x:c>
      <x:c r="F361" s="15" t="str"/>
      <x:c r="G361" s="16" t="str">
        <x:v>https://doi.org/10.1037/h0025105</x:v>
      </x:c>
      <x:c r="H361" s="14" t="str">
        <x:v>C05</x:v>
      </x:c>
      <x:c r="I361" s="14" t="str">
        <x:v>Lord, F. M.</x:v>
      </x:c>
      <x:c r="J361" s="18" t="n">
        <x:v>1967</x:v>
      </x:c>
      <x:c r="K361" s="14" t="str">
        <x:v>研究文献</x:v>
      </x:c>
      <x:c r="L361" s="14" t="str">
        <x:v>选读</x:v>
      </x:c>
      <x:c r="M361" s="14" t="str">
        <x:v>未取得全文；页面响应不能证明全文权限。</x:v>
      </x:c>
      <x:c r="N361" s="14" t="str">
        <x:v>从 DOI 或出版社页查看全文；也可使用学校图书馆或作者公开版本。</x:v>
      </x:c>
      <x:c r="O361" s="14" t="str">
        <x:v>**Lord 悖论的原始文献**，一页纸，准实验研究者必读</x:v>
      </x:c>
      <x:c r="P361" s="14" t="str">
        <x:v>10.1037/h0025105</x:v>
      </x:c>
      <x:c r="Q361" s="14" t="str"/>
      <x:c r="R361" s="17"/>
      <x:c r="S361" s="14" t="str"/>
      <x:c r="T361" s="14" t="str"/>
      <x:c r="U361" s="19" t="n">
        <x:v>46303</x:v>
      </x:c>
    </x:row>
    <x:row r="362" ht="68" customHeight="1">
      <x:c r="A362" s="14" t="str">
        <x:v>D-2751668F</x:v>
      </x:c>
      <x:c r="B362" s="14" t="str">
        <x:v>需人工获取</x:v>
      </x:c>
      <x:c r="C362" s="14" t="str">
        <x:v>Misunderstanding analysis of covariance</x:v>
      </x:c>
      <x:c r="D362" s="14" t="str">
        <x:v>英文</x:v>
      </x:c>
      <x:c r="E362" s="15" t="str">
        <x:v>未处理</x:v>
      </x:c>
      <x:c r="F362" s="15" t="str"/>
      <x:c r="G362" s="16" t="str">
        <x:v>https://doi.org/10.1037/0021-843x.110.1.40</x:v>
      </x:c>
      <x:c r="H362" s="14" t="str">
        <x:v>C05</x:v>
      </x:c>
      <x:c r="I362" s="14" t="str">
        <x:v>Miller, G. A., &amp; Chapman, J. P.</x:v>
      </x:c>
      <x:c r="J362" s="18" t="n">
        <x:v>2001</x:v>
      </x:c>
      <x:c r="K362" s="14" t="str">
        <x:v>研究文献</x:v>
      </x:c>
      <x:c r="L362" s="14" t="str">
        <x:v>选读</x:v>
      </x:c>
      <x:c r="M362" s="14" t="str">
        <x:v>未取得全文；页面响应不能证明全文权限。</x:v>
      </x:c>
      <x:c r="N362" s="14" t="str">
        <x:v>从 DOI 或出版社页查看全文；也可使用学校图书馆或作者公开版本。</x:v>
      </x:c>
      <x:c r="O362" s="14" t="str">
        <x:v>**用 ANCOVA「控制掉」组间固有差异是根本性误用**，这篇专门讲这个</x:v>
      </x:c>
      <x:c r="P362" s="14" t="str">
        <x:v>10.1037/0021-843x.110.1.40</x:v>
      </x:c>
      <x:c r="Q362" s="14" t="str"/>
      <x:c r="R362" s="17"/>
      <x:c r="S362" s="14" t="str"/>
      <x:c r="T362" s="14" t="str"/>
      <x:c r="U362" s="19" t="n">
        <x:v>46303</x:v>
      </x:c>
    </x:row>
    <x:row r="363" ht="68" customHeight="1">
      <x:c r="A363" s="14" t="str">
        <x:v>D-88B75CD9</x:v>
      </x:c>
      <x:c r="B363" s="14" t="str">
        <x:v>需人工获取</x:v>
      </x:c>
      <x:c r="C363" s="14" t="str">
        <x:v>A truly multivariate approach to MANOVA</x:v>
      </x:c>
      <x:c r="D363" s="14" t="str">
        <x:v>英文</x:v>
      </x:c>
      <x:c r="E363" s="15" t="str">
        <x:v>未处理</x:v>
      </x:c>
      <x:c r="F363" s="15" t="str"/>
      <x:c r="G363" s="16" t="str">
        <x:v>https://soar.wichita.edu/server/api/core/bitstreams/f70c2b11-c2ad-448e-94be-a39eeae3106d/content</x:v>
      </x:c>
      <x:c r="H363" s="14" t="str">
        <x:v>C06</x:v>
      </x:c>
      <x:c r="I363" s="14" t="str">
        <x:v>Grice, J. W., &amp; Iwasaki, M.</x:v>
      </x:c>
      <x:c r="J363" s="18" t="n">
        <x:v>2007</x:v>
      </x:c>
      <x:c r="K363" s="14" t="str">
        <x:v>研究文献</x:v>
      </x:c>
      <x:c r="L363" s="14" t="str">
        <x:v>选读</x:v>
      </x:c>
      <x:c r="M363" s="14" t="str">
        <x:v>未取得全文；页面响应不能证明全文权限。</x:v>
      </x:c>
      <x:c r="N363" s="14" t="str">
        <x:v>从 DOI 或出版社页查看全文；也可使用学校图书馆或作者公开版本。</x:v>
      </x:c>
      <x:c r="O363" s="14" t="str">
        <x:v>MANOVA 显著之后该做什么——判别函数比逐个 ANOVA 更契合它的逻辑</x:v>
      </x:c>
      <x:c r="P363" s="14" t="str"/>
      <x:c r="Q363" s="14" t="str"/>
      <x:c r="R363" s="17"/>
      <x:c r="S363" s="14" t="str"/>
      <x:c r="T363" s="14" t="str"/>
      <x:c r="U363" s="19" t="n">
        <x:v>46303</x:v>
      </x:c>
    </x:row>
    <x:row r="364" ht="68" customHeight="1">
      <x:c r="A364" s="14" t="str">
        <x:v>D-FCF69BB1</x:v>
      </x:c>
      <x:c r="B364" s="14" t="str">
        <x:v>需人工获取</x:v>
      </x:c>
      <x:c r="C364" s="14" t="str">
        <x:v>Multivariate analysis versus multiple univariate analyses</x:v>
      </x:c>
      <x:c r="D364" s="14" t="str">
        <x:v>英文</x:v>
      </x:c>
      <x:c r="E364" s="15" t="str">
        <x:v>未处理</x:v>
      </x:c>
      <x:c r="F364" s="15" t="str"/>
      <x:c r="G364" s="16" t="str">
        <x:v>https://doi.org/10.1037/0033-2909.105.2.302</x:v>
      </x:c>
      <x:c r="H364" s="14" t="str">
        <x:v>C06</x:v>
      </x:c>
      <x:c r="I364" s="14" t="str">
        <x:v>Huberty, C. J., &amp; Morris, J. D.</x:v>
      </x:c>
      <x:c r="J364" s="18" t="n">
        <x:v>1989</x:v>
      </x:c>
      <x:c r="K364" s="14" t="str">
        <x:v>研究文献</x:v>
      </x:c>
      <x:c r="L364" s="14" t="str">
        <x:v>选读</x:v>
      </x:c>
      <x:c r="M364" s="14" t="str">
        <x:v>未取得全文；页面响应不能证明全文权限。</x:v>
      </x:c>
      <x:c r="N364" s="14" t="str">
        <x:v>从 DOI 或出版社页查看全文；也可使用学校图书馆或作者公开版本。</x:v>
      </x:c>
      <x:c r="O364" s="14" t="str">
        <x:v>**什么时候 MANOVA 才真正有用**：不是「多个因变量的自动保护伞」</x:v>
      </x:c>
      <x:c r="P364" s="14" t="str">
        <x:v>10.1037/0033-2909.105.2.302</x:v>
      </x:c>
      <x:c r="Q364" s="14" t="str"/>
      <x:c r="R364" s="17"/>
      <x:c r="S364" s="14" t="str"/>
      <x:c r="T364" s="14" t="str"/>
      <x:c r="U364" s="19" t="n">
        <x:v>46303</x:v>
      </x:c>
    </x:row>
    <x:row r="365" ht="68" customHeight="1">
      <x:c r="A365" s="14" t="str">
        <x:v>D-F42F8FEC</x:v>
      </x:c>
      <x:c r="B365" s="14" t="str">
        <x:v>需人工获取</x:v>
      </x:c>
      <x:c r="C365" s="14" t="str">
        <x:v>Understanding and misunderstanding randomized controlled trials</x:v>
      </x:c>
      <x:c r="D365" s="14" t="str">
        <x:v>英文</x:v>
      </x:c>
      <x:c r="E365" s="15" t="str">
        <x:v>未处理</x:v>
      </x:c>
      <x:c r="F365" s="15" t="str"/>
      <x:c r="G365" s="16" t="str">
        <x:v>https://doi.org/10.1016/j.socscimed.2017.12.005</x:v>
      </x:c>
      <x:c r="H365" s="14" t="str">
        <x:v>C07</x:v>
      </x:c>
      <x:c r="I365" s="14" t="str">
        <x:v>Deaton, A., &amp; Cartwright, N.</x:v>
      </x:c>
      <x:c r="J365" s="18" t="n">
        <x:v>2018</x:v>
      </x:c>
      <x:c r="K365" s="14" t="str">
        <x:v>研究文献</x:v>
      </x:c>
      <x:c r="L365" s="14" t="str">
        <x:v>选读</x:v>
      </x:c>
      <x:c r="M365" s="14" t="str">
        <x:v>未取得全文；页面响应不能证明全文权限。</x:v>
      </x:c>
      <x:c r="N365" s="14" t="str">
        <x:v>从 DOI 或出版社页查看全文；也可使用学校图书馆或作者公开版本。</x:v>
      </x:c>
      <x:c r="O365" s="14" t="str">
        <x:v>**对 RCT 至上论的严肃批评**：随机化保护内部效度，不保护外部效度，也不保证平衡</x:v>
      </x:c>
      <x:c r="P365" s="14" t="str">
        <x:v>10.1016/j.socscimed.2017.12.005</x:v>
      </x:c>
      <x:c r="Q365" s="14" t="str"/>
      <x:c r="R365" s="17"/>
      <x:c r="S365" s="14" t="str"/>
      <x:c r="T365" s="14" t="str"/>
      <x:c r="U365" s="19" t="n">
        <x:v>46303</x:v>
      </x:c>
    </x:row>
    <x:row r="366" ht="68" customHeight="1">
      <x:c r="A366" s="14" t="str">
        <x:v>D-DDAEE03C</x:v>
      </x:c>
      <x:c r="B366" s="14" t="str">
        <x:v>需人工获取</x:v>
      </x:c>
      <x:c r="C366" s="14" t="str">
        <x:v>Three conditions under which experiments and observational studies produce comparable causal estimates</x:v>
      </x:c>
      <x:c r="D366" s="14" t="str">
        <x:v>英文</x:v>
      </x:c>
      <x:c r="E366" s="15" t="str">
        <x:v>未处理</x:v>
      </x:c>
      <x:c r="F366" s="15" t="str"/>
      <x:c r="G366" s="16" t="str">
        <x:v>https://doi.org/10.1002/pam.20375</x:v>
      </x:c>
      <x:c r="H366" s="14" t="str">
        <x:v>C08</x:v>
      </x:c>
      <x:c r="I366" s="14" t="str">
        <x:v>Cook, T. D., Shadish, W. R., &amp; Wong, V. C.</x:v>
      </x:c>
      <x:c r="J366" s="18" t="n">
        <x:v>2008</x:v>
      </x:c>
      <x:c r="K366" s="14" t="str">
        <x:v>研究文献</x:v>
      </x:c>
      <x:c r="L366" s="14" t="str">
        <x:v>选读</x:v>
      </x:c>
      <x:c r="M366" s="14" t="str">
        <x:v>未取得全文；页面响应不能证明全文权限。</x:v>
      </x:c>
      <x:c r="N366" s="14" t="str">
        <x:v>从 DOI 或出版社页查看全文；也可使用学校图书馆或作者公开版本。</x:v>
      </x:c>
      <x:c r="O366" s="14" t="str">
        <x:v>观察研究何时可信的三个条件</x:v>
      </x:c>
      <x:c r="P366" s="14" t="str">
        <x:v>10.1002/pam.20375</x:v>
      </x:c>
      <x:c r="Q366" s="14" t="str"/>
      <x:c r="R366" s="17"/>
      <x:c r="S366" s="14" t="str"/>
      <x:c r="T366" s="14" t="str"/>
      <x:c r="U366" s="19" t="n">
        <x:v>46303</x:v>
      </x:c>
    </x:row>
    <x:row r="367" ht="68" customHeight="1">
      <x:c r="A367" s="14" t="str">
        <x:v>D-96BD8A39</x:v>
      </x:c>
      <x:c r="B367" s="14" t="str">
        <x:v>需人工获取</x:v>
      </x:c>
      <x:c r="C367" s="14" t="str">
        <x:v>The hidden American immigration consensus: A conjoint analysis of attitudes toward immigrants</x:v>
      </x:c>
      <x:c r="D367" s="14" t="str">
        <x:v>英文</x:v>
      </x:c>
      <x:c r="E367" s="15" t="str">
        <x:v>未处理</x:v>
      </x:c>
      <x:c r="F367" s="15" t="str"/>
      <x:c r="G367" s="16" t="str">
        <x:v>https://doi.org/10.2139/ssrn.2106116</x:v>
      </x:c>
      <x:c r="H367" s="14" t="str">
        <x:v>C09</x:v>
      </x:c>
      <x:c r="I367" s="14" t="str">
        <x:v>Hainmueller, J., &amp; Hopkins, D. J.</x:v>
      </x:c>
      <x:c r="J367" s="18" t="n">
        <x:v>2015</x:v>
      </x:c>
      <x:c r="K367" s="14" t="str">
        <x:v>研究文献</x:v>
      </x:c>
      <x:c r="L367" s="14" t="str">
        <x:v>选读</x:v>
      </x:c>
      <x:c r="M367" s="14" t="str">
        <x:v>未取得全文；页面响应不能证明全文权限。</x:v>
      </x:c>
      <x:c r="N367" s="14" t="str">
        <x:v>从 DOI 或出版社页查看全文；也可使用学校图书馆或作者公开版本。</x:v>
      </x:c>
      <x:c r="O367" s="14" t="str">
        <x:v>联合分析的经典应用范例，可直接学它的呈现方式 链接为作者公开稿或工作论文，可能与正式发表版在年份、题名或内容上不同；引用时请核对所用版本。</x:v>
      </x:c>
      <x:c r="P367" s="14" t="str">
        <x:v>10.2139/ssrn.2106116</x:v>
      </x:c>
      <x:c r="Q367" s="14" t="str"/>
      <x:c r="R367" s="17"/>
      <x:c r="S367" s="14" t="str"/>
      <x:c r="T367" s="14" t="str"/>
      <x:c r="U367" s="19" t="n">
        <x:v>46303</x:v>
      </x:c>
    </x:row>
    <x:row r="368" ht="68" customHeight="1">
      <x:c r="A368" s="14" t="str">
        <x:v>D-B79229F7</x:v>
      </x:c>
      <x:c r="B368" s="14" t="str">
        <x:v>需人工获取</x:v>
      </x:c>
      <x:c r="C368" s="14" t="str">
        <x:v>What do we learn about voter preferences from conjoint experiments?</x:v>
      </x:c>
      <x:c r="D368" s="14" t="str">
        <x:v>英文</x:v>
      </x:c>
      <x:c r="E368" s="15" t="str">
        <x:v>未处理</x:v>
      </x:c>
      <x:c r="F368" s="15" t="str"/>
      <x:c r="G368" s="16" t="str">
        <x:v>https://doi.org/10.1111/ajps.12714</x:v>
      </x:c>
      <x:c r="H368" s="14" t="str">
        <x:v>C09</x:v>
      </x:c>
      <x:c r="I368" s="14" t="str">
        <x:v>Abramson, S. F., Kocak, K., &amp; Magazinnik, A.</x:v>
      </x:c>
      <x:c r="J368" s="18" t="n">
        <x:v>2022</x:v>
      </x:c>
      <x:c r="K368" s="14" t="str">
        <x:v>研究文献</x:v>
      </x:c>
      <x:c r="L368" s="14" t="str">
        <x:v>选读</x:v>
      </x:c>
      <x:c r="M368" s="14" t="str">
        <x:v>未取得全文；页面响应不能证明全文权限。</x:v>
      </x:c>
      <x:c r="N368" s="14" t="str">
        <x:v>从 DOI 或出版社页查看全文；也可使用学校图书馆或作者公开版本。</x:v>
      </x:c>
      <x:c r="O368" s="14" t="str">
        <x:v>**AMCE 的解释边界**：它不能直接告诉你多数人偏好哪个</x:v>
      </x:c>
      <x:c r="P368" s="14" t="str">
        <x:v>10.1111/ajps.12714</x:v>
      </x:c>
      <x:c r="Q368" s="14" t="str"/>
      <x:c r="R368" s="17"/>
      <x:c r="S368" s="14" t="str"/>
      <x:c r="T368" s="14" t="str"/>
      <x:c r="U368" s="19" t="n">
        <x:v>46303</x:v>
      </x:c>
    </x:row>
    <x:row r="369" ht="68" customHeight="1">
      <x:c r="A369" s="14" t="str">
        <x:v>D-48AED0FE</x:v>
      </x:c>
      <x:c r="B369" s="14" t="str">
        <x:v>需人工获取</x:v>
      </x:c>
      <x:c r="C369" s="14" t="str">
        <x:v>The item count method for sensitive survey questions: Modelling criminal behaviour</x:v>
      </x:c>
      <x:c r="D369" s="14" t="str">
        <x:v>英文</x:v>
      </x:c>
      <x:c r="E369" s="15" t="str">
        <x:v>未处理</x:v>
      </x:c>
      <x:c r="F369" s="15" t="str"/>
      <x:c r="G369" s="16" t="str">
        <x:v>https://doi.org/10.1111/rssc.12018</x:v>
      </x:c>
      <x:c r="H369" s="14" t="str">
        <x:v>C10</x:v>
      </x:c>
      <x:c r="I369" s="14" t="str">
        <x:v>Kuha, J., &amp; Jackson, J.</x:v>
      </x:c>
      <x:c r="J369" s="18" t="n">
        <x:v>2014</x:v>
      </x:c>
      <x:c r="K369" s="14" t="str">
        <x:v>研究文献</x:v>
      </x:c>
      <x:c r="L369" s="14" t="str">
        <x:v>选读</x:v>
      </x:c>
      <x:c r="M369" s="14" t="str">
        <x:v>未取得全文；页面响应不能证明全文权限。</x:v>
      </x:c>
      <x:c r="N369" s="14" t="str">
        <x:v>从 DOI 或出版社页查看全文；也可使用学校图书馆或作者公开版本。</x:v>
      </x:c>
      <x:c r="O369" s="14" t="str">
        <x:v>列举实验的失效条件与诊断</x:v>
      </x:c>
      <x:c r="P369" s="14" t="str">
        <x:v>10.1111/rssc.12018</x:v>
      </x:c>
      <x:c r="Q369" s="14" t="str"/>
      <x:c r="R369" s="17"/>
      <x:c r="S369" s="14" t="str"/>
      <x:c r="T369" s="14" t="str"/>
      <x:c r="U369" s="19" t="n">
        <x:v>46303</x:v>
      </x:c>
    </x:row>
    <x:row r="370" ht="68" customHeight="1">
      <x:c r="A370" s="14" t="str">
        <x:v>D-DF2D589D</x:v>
      </x:c>
      <x:c r="B370" s="14" t="str">
        <x:v>需人工获取</x:v>
      </x:c>
      <x:c r="C370" s="14" t="str">
        <x:v>When to worry about sensitivity bias: A social reference theory and evidence from 30 years of list experiments</x:v>
      </x:c>
      <x:c r="D370" s="14" t="str">
        <x:v>英文</x:v>
      </x:c>
      <x:c r="E370" s="15" t="str">
        <x:v>未处理</x:v>
      </x:c>
      <x:c r="F370" s="15" t="str"/>
      <x:c r="G370" s="16" t="str">
        <x:v>https://doi.org/10.1017/s0003055420000374</x:v>
      </x:c>
      <x:c r="H370" s="14" t="str">
        <x:v>C10</x:v>
      </x:c>
      <x:c r="I370" s="14" t="str">
        <x:v>Blair, G., Coppock, A., &amp; Moor, M.</x:v>
      </x:c>
      <x:c r="J370" s="18" t="n">
        <x:v>2020</x:v>
      </x:c>
      <x:c r="K370" s="14" t="str">
        <x:v>研究文献</x:v>
      </x:c>
      <x:c r="L370" s="14" t="str">
        <x:v>选读</x:v>
      </x:c>
      <x:c r="M370" s="14" t="str">
        <x:v>未取得全文；页面响应不能证明全文权限。</x:v>
      </x:c>
      <x:c r="N370" s="14" t="str">
        <x:v>从 DOI 或出版社页查看全文；也可使用学校图书馆或作者公开版本。</x:v>
      </x:c>
      <x:c r="O370" s="14" t="str">
        <x:v>**什么时候敏感问题技术真的有必要**：很多时候直接提问的偏差没那么大</x:v>
      </x:c>
      <x:c r="P370" s="14" t="str">
        <x:v>10.1017/s0003055420000374</x:v>
      </x:c>
      <x:c r="Q370" s="14" t="str"/>
      <x:c r="R370" s="17"/>
      <x:c r="S370" s="14" t="str"/>
      <x:c r="T370" s="14" t="str"/>
      <x:c r="U370" s="19" t="n">
        <x:v>46303</x:v>
      </x:c>
    </x:row>
    <x:row r="371" ht="68" customHeight="1">
      <x:c r="A371" s="14" t="str">
        <x:v>D-5BA0FA80</x:v>
      </x:c>
      <x:c r="B371" s="14" t="str">
        <x:v>需人工获取</x:v>
      </x:c>
      <x:c r="C371" s="14" t="str">
        <x:v>d3center · MRT analysis code library</x:v>
      </x:c>
      <x:c r="D371" s="14" t="str">
        <x:v>英文</x:v>
      </x:c>
      <x:c r="E371" s="15" t="str">
        <x:v>未处理</x:v>
      </x:c>
      <x:c r="F371" s="15" t="str"/>
      <x:c r="G371" s="16" t="str">
        <x:v>https://d3c.isr.umich.edu/code-library/</x:v>
      </x:c>
      <x:c r="H371" s="14" t="str">
        <x:v>C11</x:v>
      </x:c>
      <x:c r="I371" s="14" t="str">
        <x:v>University of Michigan / d3center</x:v>
      </x:c>
      <x:c r="J371" s="18" t="str"/>
      <x:c r="K371" s="14" t="str">
        <x:v>教学</x:v>
      </x:c>
      <x:c r="L371" s="14" t="str">
        <x:v>选读</x:v>
      </x:c>
      <x:c r="M371" s="14" t="str">
        <x:v>站点要求登录、订阅或限制自动访问。</x:v>
      </x:c>
      <x:c r="N371" s="14" t="str">
        <x:v>打开官方入口，使用站点提供的下载功能；网页教程可继续在线使用。</x:v>
      </x:c>
      <x:c r="O371" s="14" t="str">
        <x:v>进入 Micro-Randomized Trials 分节，选择近端效应分析示例。</x:v>
      </x:c>
      <x:c r="P371" s="14" t="str"/>
      <x:c r="Q371" s="14" t="str"/>
      <x:c r="R371" s="17"/>
      <x:c r="S371" s="14" t="str"/>
      <x:c r="T371" s="14" t="str"/>
      <x:c r="U371" s="19" t="n">
        <x:v>46303</x:v>
      </x:c>
    </x:row>
    <x:row r="372" ht="68" customHeight="1">
      <x:c r="A372" s="14" t="str">
        <x:v>D-56531D51</x:v>
      </x:c>
      <x:c r="B372" s="14" t="str">
        <x:v>需人工获取</x:v>
      </x:c>
      <x:c r="C372" s="14" t="str">
        <x:v>Social class, sense of control, and social explanation</x:v>
      </x:c>
      <x:c r="D372" s="14" t="str">
        <x:v>英文</x:v>
      </x:c>
      <x:c r="E372" s="15" t="str">
        <x:v>未处理</x:v>
      </x:c>
      <x:c r="F372" s="15" t="str"/>
      <x:c r="G372" s="16" t="str">
        <x:v>https://doi.org/10.1037/a0016357</x:v>
      </x:c>
      <x:c r="H372" s="14" t="str">
        <x:v>D02</x:v>
      </x:c>
      <x:c r="I372" s="14" t="str">
        <x:v>Kraus, M. W., Piff, P. K., &amp; Keltner, D.</x:v>
      </x:c>
      <x:c r="J372" s="18" t="n">
        <x:v>2009</x:v>
      </x:c>
      <x:c r="K372" s="14" t="str">
        <x:v>研究文献</x:v>
      </x:c>
      <x:c r="L372" s="14" t="str">
        <x:v>选读</x:v>
      </x:c>
      <x:c r="M372" s="14" t="str">
        <x:v>未取得全文；页面响应不能证明全文权限。</x:v>
      </x:c>
      <x:c r="N372" s="14" t="str">
        <x:v>从 DOI 或出版社页查看全文；也可使用学校图书馆或作者公开版本。</x:v>
      </x:c>
      <x:c r="O372" s="14" t="str">
        <x:v>经典的分层回归 + 中介写法，可以直接学它的结果部分怎么组织</x:v>
      </x:c>
      <x:c r="P372" s="14" t="str">
        <x:v>10.1037/a0016357</x:v>
      </x:c>
      <x:c r="Q372" s="14" t="str"/>
      <x:c r="R372" s="17"/>
      <x:c r="S372" s="14" t="str"/>
      <x:c r="T372" s="14" t="str"/>
      <x:c r="U372" s="19" t="n">
        <x:v>46303</x:v>
      </x:c>
    </x:row>
    <x:row r="373" ht="68" customHeight="1">
      <x:c r="A373" s="14" t="str">
        <x:v>D-D4617225</x:v>
      </x:c>
      <x:c r="B373" s="14" t="str">
        <x:v>需人工获取</x:v>
      </x:c>
      <x:c r="C373" s="14" t="str">
        <x:v>Generalized Linear Models</x:v>
      </x:c>
      <x:c r="D373" s="14" t="str">
        <x:v>英文</x:v>
      </x:c>
      <x:c r="E373" s="15" t="str">
        <x:v>未处理</x:v>
      </x:c>
      <x:c r="F373" s="15" t="str"/>
      <x:c r="G373" s="16" t="str">
        <x:v>https://doi.org/10.2307/2344614</x:v>
      </x:c>
      <x:c r="H373" s="14" t="str">
        <x:v>D02；D03；E01；E02；O05</x:v>
      </x:c>
      <x:c r="I373" s="14" t="str">
        <x:v>Nelder; Wedderburn</x:v>
      </x:c>
      <x:c r="J373" s="18" t="n">
        <x:v>1972</x:v>
      </x:c>
      <x:c r="K373" s="14" t="str">
        <x:v>文献</x:v>
      </x:c>
      <x:c r="L373" s="14" t="str">
        <x:v>选读</x:v>
      </x:c>
      <x:c r="M373" s="14" t="str">
        <x:v>未取得全文；页面响应不能证明全文权限。</x:v>
      </x:c>
      <x:c r="N373" s="14" t="str">
        <x:v>从 DOI 或出版社页查看全文；也可使用学校图书馆或作者公开版本。</x:v>
      </x:c>
      <x:c r="O373" s="14" t="str">
        <x:v>把正态、二项与计数响应纳入统一的均值—连接函数框架。</x:v>
      </x:c>
      <x:c r="P373" s="14" t="str">
        <x:v>10.2307/2344614</x:v>
      </x:c>
      <x:c r="Q373" s="14" t="str"/>
      <x:c r="R373" s="17"/>
      <x:c r="S373" s="14" t="str"/>
      <x:c r="T373" s="14" t="str"/>
      <x:c r="U373" s="19" t="n">
        <x:v>46303</x:v>
      </x:c>
    </x:row>
    <x:row r="374" ht="68" customHeight="1">
      <x:c r="A374" s="14" t="str">
        <x:v>D-FDC0646F</x:v>
      </x:c>
      <x:c r="B374" s="14" t="str">
        <x:v>需人工获取</x:v>
      </x:c>
      <x:c r="C374" s="14" t="str">
        <x:v>To Explain or to Predict?</x:v>
      </x:c>
      <x:c r="D374" s="14" t="str">
        <x:v>英文</x:v>
      </x:c>
      <x:c r="E374" s="15" t="str">
        <x:v>未处理</x:v>
      </x:c>
      <x:c r="F374" s="15" t="str"/>
      <x:c r="G374" s="16" t="str">
        <x:v>https://doi.org/10.1214/10-STS330</x:v>
      </x:c>
      <x:c r="H374" s="14" t="str">
        <x:v>D02；D11；J01；J02；O05</x:v>
      </x:c>
      <x:c r="I374" s="14" t="str">
        <x:v>Shmueli</x:v>
      </x:c>
      <x:c r="J374" s="18" t="n">
        <x:v>2010</x:v>
      </x:c>
      <x:c r="K374" s="14" t="str">
        <x:v>文献</x:v>
      </x:c>
      <x:c r="L374" s="14" t="str">
        <x:v>选读</x:v>
      </x:c>
      <x:c r="M374" s="14" t="str">
        <x:v>未取得全文；页面响应不能证明全文权限。</x:v>
      </x:c>
      <x:c r="N374" s="14" t="str">
        <x:v>从 DOI 或出版社页查看全文；也可使用学校图书馆或作者公开版本。</x:v>
      </x:c>
      <x:c r="O374" s="14" t="str">
        <x:v>区分描述、理论解释与预测目标；目标改变验证方式。</x:v>
      </x:c>
      <x:c r="P374" s="14" t="str">
        <x:v>10.1214/10-STS330</x:v>
      </x:c>
      <x:c r="Q374" s="14" t="str"/>
      <x:c r="R374" s="17"/>
      <x:c r="S374" s="14" t="str"/>
      <x:c r="T374" s="14" t="str"/>
      <x:c r="U374" s="19" t="n">
        <x:v>46303</x:v>
      </x:c>
    </x:row>
    <x:row r="375" ht="68" customHeight="1">
      <x:c r="A375" s="14" t="str">
        <x:v>D-7A76C315</x:v>
      </x:c>
      <x:c r="B375" s="14" t="str">
        <x:v>需人工获取</x:v>
      </x:c>
      <x:c r="C375" s="14" t="str">
        <x:v>Log odds and the interpretation of logit models</x:v>
      </x:c>
      <x:c r="D375" s="14" t="str">
        <x:v>英文</x:v>
      </x:c>
      <x:c r="E375" s="15" t="str">
        <x:v>未处理</x:v>
      </x:c>
      <x:c r="F375" s="15" t="str"/>
      <x:c r="G375" s="16" t="str">
        <x:v>https://doi.org/10.1111/1475-6773.12712</x:v>
      </x:c>
      <x:c r="H375" s="14" t="str">
        <x:v>D03</x:v>
      </x:c>
      <x:c r="I375" s="14" t="str">
        <x:v>Norton, E. C., &amp; Dowd, B. E.</x:v>
      </x:c>
      <x:c r="J375" s="18" t="n">
        <x:v>2018</x:v>
      </x:c>
      <x:c r="K375" s="14" t="str">
        <x:v>研究文献</x:v>
      </x:c>
      <x:c r="L375" s="14" t="str">
        <x:v>选读</x:v>
      </x:c>
      <x:c r="M375" s="14" t="str">
        <x:v>未取得全文；页面响应不能证明全文权限。</x:v>
      </x:c>
      <x:c r="N375" s="14" t="str">
        <x:v>从 DOI 或出版社页查看全文；也可使用学校图书馆或作者公开版本。</x:v>
      </x:c>
      <x:c r="O375" s="14" t="str">
        <x:v>OR 与 RR 的区别，以及高发生率结局下 OR 会夸大多少</x:v>
      </x:c>
      <x:c r="P375" s="14" t="str">
        <x:v>10.1111/1475-6773.12712</x:v>
      </x:c>
      <x:c r="Q375" s="14" t="str"/>
      <x:c r="R375" s="17"/>
      <x:c r="S375" s="14" t="str"/>
      <x:c r="T375" s="14" t="str"/>
      <x:c r="U375" s="19" t="n">
        <x:v>46303</x:v>
      </x:c>
    </x:row>
    <x:row r="376" ht="68" customHeight="1">
      <x:c r="A376" s="14" t="str">
        <x:v>D-2B3D4975</x:v>
      </x:c>
      <x:c r="B376" s="14" t="str">
        <x:v>需人工获取</x:v>
      </x:c>
      <x:c r="C376" s="14" t="str">
        <x:v>Logistic regression: Why we cannot do what we think we can do, and what we can do about it</x:v>
      </x:c>
      <x:c r="D376" s="14" t="str">
        <x:v>英文</x:v>
      </x:c>
      <x:c r="E376" s="15" t="str">
        <x:v>未处理</x:v>
      </x:c>
      <x:c r="F376" s="15" t="str"/>
      <x:c r="G376" s="16" t="str">
        <x:v>https://doi.org/10.1093/esr/jcp006</x:v>
      </x:c>
      <x:c r="H376" s="14" t="str">
        <x:v>D03</x:v>
      </x:c>
      <x:c r="I376" s="14" t="str">
        <x:v>Mood, C.</x:v>
      </x:c>
      <x:c r="J376" s="18" t="n">
        <x:v>2010</x:v>
      </x:c>
      <x:c r="K376" s="14" t="str">
        <x:v>研究文献</x:v>
      </x:c>
      <x:c r="L376" s="14" t="str">
        <x:v>选读</x:v>
      </x:c>
      <x:c r="M376" s="14" t="str">
        <x:v>未取得全文；页面响应不能证明全文权限。</x:v>
      </x:c>
      <x:c r="N376" s="14" t="str">
        <x:v>从 DOI 或出版社页查看全文；也可使用学校图书馆或作者公开版本。</x:v>
      </x:c>
      <x:c r="O376" s="14" t="str">
        <x:v>**Logistic 系数不能跨模型/跨组直接比较**——残差方差被固定，加变量会机械改变系数尺度。改用平均边际效应</x:v>
      </x:c>
      <x:c r="P376" s="14" t="str">
        <x:v>10.1093/esr/jcp006</x:v>
      </x:c>
      <x:c r="Q376" s="14" t="str"/>
      <x:c r="R376" s="17"/>
      <x:c r="S376" s="14" t="str"/>
      <x:c r="T376" s="14" t="str"/>
      <x:c r="U376" s="19" t="n">
        <x:v>46303</x:v>
      </x:c>
    </x:row>
    <x:row r="377" ht="68" customHeight="1">
      <x:c r="A377" s="14" t="str">
        <x:v>D-61462F2E</x:v>
      </x:c>
      <x:c r="B377" s="14" t="str">
        <x:v>需人工获取</x:v>
      </x:c>
      <x:c r="C377" s="14" t="str">
        <x:v>Do not log-transform count data</x:v>
      </x:c>
      <x:c r="D377" s="14" t="str">
        <x:v>英文</x:v>
      </x:c>
      <x:c r="E377" s="15" t="str">
        <x:v>未处理</x:v>
      </x:c>
      <x:c r="F377" s="15" t="str"/>
      <x:c r="G377" s="16" t="str">
        <x:v>https://doi.org/10.1111/j.2041-210x.2010.00021.x</x:v>
      </x:c>
      <x:c r="H377" s="14" t="str">
        <x:v>D04；N04</x:v>
      </x:c>
      <x:c r="I377" s="14" t="str">
        <x:v>O'Hara, R. B., &amp; Kotze, D. J.</x:v>
      </x:c>
      <x:c r="J377" s="18" t="n">
        <x:v>2010</x:v>
      </x:c>
      <x:c r="K377" s="14" t="str">
        <x:v>研究文献</x:v>
      </x:c>
      <x:c r="L377" s="14" t="str">
        <x:v>选读</x:v>
      </x:c>
      <x:c r="M377" s="14" t="str">
        <x:v>未取得全文；页面响应不能证明全文权限。</x:v>
      </x:c>
      <x:c r="N377" s="14" t="str">
        <x:v>从 DOI 或出版社页查看全文；也可使用学校图书馆或作者公开版本。</x:v>
      </x:c>
      <x:c r="O377" s="14" t="str">
        <x:v>**标题即结论**：对计数取对数做 OLS 会带来偏倚且无法处理 0</x:v>
      </x:c>
      <x:c r="P377" s="14" t="str">
        <x:v>10.1111/j.2041-210x.2010.00021.x</x:v>
      </x:c>
      <x:c r="Q377" s="14" t="str"/>
      <x:c r="R377" s="17"/>
      <x:c r="S377" s="14" t="str"/>
      <x:c r="T377" s="14" t="str"/>
      <x:c r="U377" s="19" t="n">
        <x:v>46303</x:v>
      </x:c>
    </x:row>
    <x:row r="378" ht="68" customHeight="1">
      <x:c r="A378" s="14" t="str">
        <x:v>D-3E2EE411</x:v>
      </x:c>
      <x:c r="B378" s="14" t="str">
        <x:v>需人工获取</x:v>
      </x:c>
      <x:c r="C378" s="14" t="str">
        <x:v>Bias in cross-sectional analyses of longitudinal mediation</x:v>
      </x:c>
      <x:c r="D378" s="14" t="str">
        <x:v>英文</x:v>
      </x:c>
      <x:c r="E378" s="15" t="str">
        <x:v>未处理</x:v>
      </x:c>
      <x:c r="F378" s="15" t="str"/>
      <x:c r="G378" s="16" t="str">
        <x:v>https://doi.org/10.1037/1082-989x.12.1.23</x:v>
      </x:c>
      <x:c r="H378" s="14" t="str">
        <x:v>D05</x:v>
      </x:c>
      <x:c r="I378" s="14" t="str">
        <x:v>Maxwell, S. E., &amp; Cole, D. A.</x:v>
      </x:c>
      <x:c r="J378" s="18" t="n">
        <x:v>2007</x:v>
      </x:c>
      <x:c r="K378" s="14" t="str">
        <x:v>研究文献</x:v>
      </x:c>
      <x:c r="L378" s="14" t="str">
        <x:v>选读</x:v>
      </x:c>
      <x:c r="M378" s="14" t="str">
        <x:v>未取得全文；页面响应不能证明全文权限。</x:v>
      </x:c>
      <x:c r="N378" s="14" t="str">
        <x:v>从 DOI 或出版社页查看全文；也可使用学校图书馆或作者公开版本。</x:v>
      </x:c>
      <x:c r="O378" s="14" t="str">
        <x:v>**做中介之前必读**。证明横断面中介估计可以严重偏离真实的纵向中介，方向不可预测</x:v>
      </x:c>
      <x:c r="P378" s="14" t="str">
        <x:v>10.1037/1082-989x.12.1.23</x:v>
      </x:c>
      <x:c r="Q378" s="14" t="str"/>
      <x:c r="R378" s="17"/>
      <x:c r="S378" s="14" t="str"/>
      <x:c r="T378" s="14" t="str"/>
      <x:c r="U378" s="19" t="n">
        <x:v>46303</x:v>
      </x:c>
    </x:row>
    <x:row r="379" ht="68" customHeight="1">
      <x:c r="A379" s="14" t="str">
        <x:v>D-5D0A1B9C</x:v>
      </x:c>
      <x:c r="B379" s="14" t="str">
        <x:v>需人工获取</x:v>
      </x:c>
      <x:c r="C379" s="14" t="str">
        <x:v>Psychological adjustment during the global outbreak of COVID-19</x:v>
      </x:c>
      <x:c r="D379" s="14" t="str">
        <x:v>英文</x:v>
      </x:c>
      <x:c r="E379" s="15" t="str">
        <x:v>未处理</x:v>
      </x:c>
      <x:c r="F379" s="15" t="str"/>
      <x:c r="G379" s="16" t="str">
        <x:v>https://doi.org/10.1037/tra0000685</x:v>
      </x:c>
      <x:c r="H379" s="14" t="str">
        <x:v>D05</x:v>
      </x:c>
      <x:c r="I379" s="14" t="str">
        <x:v>Chen, S., &amp; Bonanno, G. A.</x:v>
      </x:c>
      <x:c r="J379" s="18" t="n">
        <x:v>2021</x:v>
      </x:c>
      <x:c r="K379" s="14" t="str">
        <x:v>研究文献</x:v>
      </x:c>
      <x:c r="L379" s="14" t="str">
        <x:v>选读</x:v>
      </x:c>
      <x:c r="M379" s="14" t="str">
        <x:v>未取得全文；页面响应不能证明全文权限。</x:v>
      </x:c>
      <x:c r="N379" s="14" t="str">
        <x:v>从 DOI 或出版社页查看全文；也可使用学校图书馆或作者公开版本。</x:v>
      </x:c>
      <x:c r="O379" s="14" t="str">
        <x:v>纵向中介的规范写法示例（含时间顺序论证）</x:v>
      </x:c>
      <x:c r="P379" s="14" t="str">
        <x:v>10.1037/tra0000685</x:v>
      </x:c>
      <x:c r="Q379" s="14" t="str"/>
      <x:c r="R379" s="17"/>
      <x:c r="S379" s="14" t="str"/>
      <x:c r="T379" s="14" t="str"/>
      <x:c r="U379" s="19" t="n">
        <x:v>46303</x:v>
      </x:c>
    </x:row>
    <x:row r="380" ht="68" customHeight="1">
      <x:c r="A380" s="14" t="str">
        <x:v>D-858B445A</x:v>
      </x:c>
      <x:c r="B380" s="14" t="str">
        <x:v>需人工获取</x:v>
      </x:c>
      <x:c r="C380" s="14" t="str">
        <x:v>Yes, but what's the mechanism? (Don't expect an easy answer)</x:v>
      </x:c>
      <x:c r="D380" s="14" t="str">
        <x:v>英文</x:v>
      </x:c>
      <x:c r="E380" s="15" t="str">
        <x:v>未处理</x:v>
      </x:c>
      <x:c r="F380" s="15" t="str"/>
      <x:c r="G380" s="16" t="str">
        <x:v>https://doi.org/10.1037/a0018933</x:v>
      </x:c>
      <x:c r="H380" s="14" t="str">
        <x:v>D05；G10</x:v>
      </x:c>
      <x:c r="I380" s="14" t="str">
        <x:v>Bullock, J. G., Green, D. P., &amp; Ha, S. E.</x:v>
      </x:c>
      <x:c r="J380" s="18" t="n">
        <x:v>2010</x:v>
      </x:c>
      <x:c r="K380" s="14" t="str">
        <x:v>研究文献</x:v>
      </x:c>
      <x:c r="L380" s="14" t="str">
        <x:v>选读</x:v>
      </x:c>
      <x:c r="M380" s="14" t="str">
        <x:v>未取得全文；页面响应不能证明全文权限。</x:v>
      </x:c>
      <x:c r="N380" s="14" t="str">
        <x:v>从 DOI 或出版社页查看全文；也可使用学校图书馆或作者公开版本。</x:v>
      </x:c>
      <x:c r="O380" s="14" t="str">
        <x:v>政治学者写给心理学的警告：随机化 X 不能识别中介，因为 M 没有被随机化</x:v>
      </x:c>
      <x:c r="P380" s="14" t="str">
        <x:v>10.1037/a0018933</x:v>
      </x:c>
      <x:c r="Q380" s="14" t="str"/>
      <x:c r="R380" s="17"/>
      <x:c r="S380" s="14" t="str"/>
      <x:c r="T380" s="14" t="str"/>
      <x:c r="U380" s="19" t="n">
        <x:v>46303</x:v>
      </x:c>
    </x:row>
    <x:row r="381" ht="68" customHeight="1">
      <x:c r="A381" s="14" t="str">
        <x:v>D-655002BA</x:v>
      </x:c>
      <x:c r="B381" s="14" t="str">
        <x:v>需人工获取</x:v>
      </x:c>
      <x:c r="C381" s="14" t="str">
        <x:v>Effect size and power in assessing moderating effects of categorical variables using multiple regression: A 30-year review</x:v>
      </x:c>
      <x:c r="D381" s="14" t="str">
        <x:v>英文</x:v>
      </x:c>
      <x:c r="E381" s="15" t="str">
        <x:v>未处理</x:v>
      </x:c>
      <x:c r="F381" s="15" t="str"/>
      <x:c r="G381" s="16" t="str">
        <x:v>https://doi.org/10.1037/0021-9010.90.1.94</x:v>
      </x:c>
      <x:c r="H381" s="14" t="str">
        <x:v>D06</x:v>
      </x:c>
      <x:c r="I381" s="14" t="str">
        <x:v>Aguinis, H., Beaty, J. C., Boik, R. J., &amp; Pierce, C. A.</x:v>
      </x:c>
      <x:c r="J381" s="18" t="n">
        <x:v>2005</x:v>
      </x:c>
      <x:c r="K381" s="14" t="str">
        <x:v>研究文献</x:v>
      </x:c>
      <x:c r="L381" s="14" t="str">
        <x:v>选读</x:v>
      </x:c>
      <x:c r="M381" s="14" t="str">
        <x:v>未取得全文；页面响应不能证明全文权限。</x:v>
      </x:c>
      <x:c r="N381" s="14" t="str">
        <x:v>从 DOI 或出版社页查看全文；也可使用学校图书馆或作者公开版本。</x:v>
      </x:c>
      <x:c r="O381" s="14" t="str">
        <x:v>实证地表明调节效应的检验力普遍严重不足</x:v>
      </x:c>
      <x:c r="P381" s="14" t="str">
        <x:v>10.1037/0021-9010.90.1.94</x:v>
      </x:c>
      <x:c r="Q381" s="14" t="str"/>
      <x:c r="R381" s="17"/>
      <x:c r="S381" s="14" t="str"/>
      <x:c r="T381" s="14" t="str"/>
      <x:c r="U381" s="19" t="n">
        <x:v>46303</x:v>
      </x:c>
    </x:row>
    <x:row r="382" ht="68" customHeight="1">
      <x:c r="A382" s="14" t="str">
        <x:v>D-D4547724</x:v>
      </x:c>
      <x:c r="B382" s="14" t="str">
        <x:v>需人工获取</x:v>
      </x:c>
      <x:c r="C382" s="14" t="str">
        <x:v>Statistical difficulties of detecting interactions and moderator effects</x:v>
      </x:c>
      <x:c r="D382" s="14" t="str">
        <x:v>英文</x:v>
      </x:c>
      <x:c r="E382" s="15" t="str">
        <x:v>未处理</x:v>
      </x:c>
      <x:c r="F382" s="15" t="str"/>
      <x:c r="G382" s="16" t="str">
        <x:v>https://doi.org/10.1037/0033-2909.114.2.376</x:v>
      </x:c>
      <x:c r="H382" s="14" t="str">
        <x:v>D06</x:v>
      </x:c>
      <x:c r="I382" s="14" t="str">
        <x:v>McClelland, G. H., &amp; Judd, C. M.</x:v>
      </x:c>
      <x:c r="J382" s="18" t="n">
        <x:v>1993</x:v>
      </x:c>
      <x:c r="K382" s="14" t="str">
        <x:v>研究文献</x:v>
      </x:c>
      <x:c r="L382" s="14" t="str">
        <x:v>选读</x:v>
      </x:c>
      <x:c r="M382" s="14" t="str">
        <x:v>未取得全文；页面响应不能证明全文权限。</x:v>
      </x:c>
      <x:c r="N382" s="14" t="str">
        <x:v>从 DOI 或出版社页查看全文；也可使用学校图书馆或作者公开版本。</x:v>
      </x:c>
      <x:c r="O382" s="14" t="str">
        <x:v>从设计角度解释为什么田野数据里交互效应几乎测不到</x:v>
      </x:c>
      <x:c r="P382" s="14" t="str">
        <x:v>10.1037/0033-2909.114.2.376</x:v>
      </x:c>
      <x:c r="Q382" s="14" t="str"/>
      <x:c r="R382" s="17"/>
      <x:c r="S382" s="14" t="str"/>
      <x:c r="T382" s="14" t="str"/>
      <x:c r="U382" s="19" t="n">
        <x:v>46303</x:v>
      </x:c>
    </x:row>
    <x:row r="383" ht="68" customHeight="1">
      <x:c r="A383" s="14" t="str">
        <x:v>D-2C97905A</x:v>
      </x:c>
      <x:c r="B383" s="14" t="str">
        <x:v>需人工获取</x:v>
      </x:c>
      <x:c r="C383" s="14" t="str">
        <x:v>Methods for integrating moderation and mediation: A general analytical framework using moderated path analysis</x:v>
      </x:c>
      <x:c r="D383" s="14" t="str">
        <x:v>英文</x:v>
      </x:c>
      <x:c r="E383" s="15" t="str">
        <x:v>未处理</x:v>
      </x:c>
      <x:c r="F383" s="15" t="str"/>
      <x:c r="G383" s="16" t="str">
        <x:v>https://doi.org/10.1037/1082-989x.12.1.1</x:v>
      </x:c>
      <x:c r="H383" s="14" t="str">
        <x:v>D07</x:v>
      </x:c>
      <x:c r="I383" s="14" t="str">
        <x:v>Edwards, J. R., &amp; Lambert, L. S.</x:v>
      </x:c>
      <x:c r="J383" s="18" t="n">
        <x:v>2007</x:v>
      </x:c>
      <x:c r="K383" s="14" t="str">
        <x:v>研究文献</x:v>
      </x:c>
      <x:c r="L383" s="14" t="str">
        <x:v>选读</x:v>
      </x:c>
      <x:c r="M383" s="14" t="str">
        <x:v>未取得全文；页面响应不能证明全文权限。</x:v>
      </x:c>
      <x:c r="N383" s="14" t="str">
        <x:v>从 DOI 或出版社页查看全文；也可使用学校图书馆或作者公开版本。</x:v>
      </x:c>
      <x:c r="O383" s="14" t="str">
        <x:v>更一般的框架，说明 PROCESS 的预设模型只是其中的特例</x:v>
      </x:c>
      <x:c r="P383" s="14" t="str">
        <x:v>10.1037/1082-989x.12.1.1</x:v>
      </x:c>
      <x:c r="Q383" s="14" t="str"/>
      <x:c r="R383" s="17"/>
      <x:c r="S383" s="14" t="str"/>
      <x:c r="T383" s="14" t="str"/>
      <x:c r="U383" s="19" t="n">
        <x:v>46303</x:v>
      </x:c>
    </x:row>
    <x:row r="384" ht="68" customHeight="1">
      <x:c r="A384" s="14" t="str">
        <x:v>D-F2699450</x:v>
      </x:c>
      <x:c r="B384" s="14" t="str">
        <x:v>需人工获取</x:v>
      </x:c>
      <x:c r="C384" s="14" t="str">
        <x:v>That's a lot to process! Pitfalls of popular path models</x:v>
      </x:c>
      <x:c r="D384" s="14" t="str">
        <x:v>英文</x:v>
      </x:c>
      <x:c r="E384" s="15" t="str">
        <x:v>未处理</x:v>
      </x:c>
      <x:c r="F384" s="15" t="str"/>
      <x:c r="G384" s="16" t="str">
        <x:v>https://doi.org/10.31234/osf.io/paeb7</x:v>
      </x:c>
      <x:c r="H384" s="14" t="str">
        <x:v>D07</x:v>
      </x:c>
      <x:c r="I384" s="14" t="str">
        <x:v>Rohrer, J. M., Hünermund, P., Arslan, R. C., &amp; Elson, M.</x:v>
      </x:c>
      <x:c r="J384" s="18" t="n">
        <x:v>2022</x:v>
      </x:c>
      <x:c r="K384" s="14" t="str">
        <x:v>研究文献</x:v>
      </x:c>
      <x:c r="L384" s="14" t="str">
        <x:v>选读</x:v>
      </x:c>
      <x:c r="M384" s="14" t="str">
        <x:v>未取得全文；页面响应不能证明全文权限。</x:v>
      </x:c>
      <x:c r="N384" s="14" t="str">
        <x:v>从 DOI 或出版社页查看全文；也可使用学校图书馆或作者公开版本。</x:v>
      </x:c>
      <x:c r="O384" s="14" t="str">
        <x:v>**对 PROCESS 式路径模型的系统批评**：模型选择变成「哪个跑出显著用哪个」 链接为作者公开稿或工作论文，可能与正式发表版在年份、题名或内容上不同；引用时请核对所用版本。</x:v>
      </x:c>
      <x:c r="P384" s="14" t="str">
        <x:v>10.31234/osf.io/paeb7</x:v>
      </x:c>
      <x:c r="Q384" s="14" t="str"/>
      <x:c r="R384" s="17"/>
      <x:c r="S384" s="14" t="str"/>
      <x:c r="T384" s="14" t="str"/>
      <x:c r="U384" s="19" t="n">
        <x:v>46303</x:v>
      </x:c>
    </x:row>
    <x:row r="385" ht="68" customHeight="1">
      <x:c r="A385" s="14" t="str">
        <x:v>D-457F3AB9</x:v>
      </x:c>
      <x:c r="B385" s="14" t="str">
        <x:v>需人工获取</x:v>
      </x:c>
      <x:c r="C385" s="14" t="str">
        <x:v>Using lasso for predictor selection and to assuage overfitting: A method long overlooked in behavioral sciences</x:v>
      </x:c>
      <x:c r="D385" s="14" t="str">
        <x:v>英文</x:v>
      </x:c>
      <x:c r="E385" s="15" t="str">
        <x:v>未处理</x:v>
      </x:c>
      <x:c r="F385" s="15" t="str"/>
      <x:c r="G385" s="16" t="str">
        <x:v>https://doi.org/10.1080/00273171.2015.1036965</x:v>
      </x:c>
      <x:c r="H385" s="14" t="str">
        <x:v>D08</x:v>
      </x:c>
      <x:c r="I385" s="14" t="str">
        <x:v>McNeish, D. M.</x:v>
      </x:c>
      <x:c r="J385" s="18" t="n">
        <x:v>2015</x:v>
      </x:c>
      <x:c r="K385" s="14" t="str">
        <x:v>研究文献</x:v>
      </x:c>
      <x:c r="L385" s="14" t="str">
        <x:v>选读</x:v>
      </x:c>
      <x:c r="M385" s="14" t="str">
        <x:v>未取得全文；页面响应不能证明全文权限。</x:v>
      </x:c>
      <x:c r="N385" s="14" t="str">
        <x:v>从 DOI 或出版社页查看全文；也可使用学校图书馆或作者公开版本。</x:v>
      </x:c>
      <x:c r="O385" s="14" t="str">
        <x:v>**写给行为科学的正则化介绍**，含常见误用</x:v>
      </x:c>
      <x:c r="P385" s="14" t="str">
        <x:v>10.1080/00273171.2015.1036965</x:v>
      </x:c>
      <x:c r="Q385" s="14" t="str"/>
      <x:c r="R385" s="17"/>
      <x:c r="S385" s="14" t="str"/>
      <x:c r="T385" s="14" t="str"/>
      <x:c r="U385" s="19" t="n">
        <x:v>46303</x:v>
      </x:c>
    </x:row>
    <x:row r="386" ht="68" customHeight="1">
      <x:c r="A386" s="14" t="str">
        <x:v>D-9BE7CEDF</x:v>
      </x:c>
      <x:c r="B386" s="14" t="str">
        <x:v>需人工获取</x:v>
      </x:c>
      <x:c r="C386" s="14" t="str">
        <x:v>Valid post-selection inference</x:v>
      </x:c>
      <x:c r="D386" s="14" t="str">
        <x:v>英文</x:v>
      </x:c>
      <x:c r="E386" s="15" t="str">
        <x:v>未处理</x:v>
      </x:c>
      <x:c r="F386" s="15" t="str"/>
      <x:c r="G386" s="16" t="str">
        <x:v>https://doi.org/10.1214/12-aos1077</x:v>
      </x:c>
      <x:c r="H386" s="14" t="str">
        <x:v>D08</x:v>
      </x:c>
      <x:c r="I386" s="14" t="str">
        <x:v>Berk, R., Brown, L., Buja, A., Zhang, K., &amp; Zhao, L.</x:v>
      </x:c>
      <x:c r="J386" s="18" t="n">
        <x:v>2013</x:v>
      </x:c>
      <x:c r="K386" s="14" t="str">
        <x:v>研究文献</x:v>
      </x:c>
      <x:c r="L386" s="14" t="str">
        <x:v>选读</x:v>
      </x:c>
      <x:c r="M386" s="14" t="str">
        <x:v>未取得全文；页面响应不能证明全文权限。</x:v>
      </x:c>
      <x:c r="N386" s="14" t="str">
        <x:v>从 DOI 或出版社页查看全文；也可使用学校图书馆或作者公开版本。</x:v>
      </x:c>
      <x:c r="O386" s="14" t="str">
        <x:v>**选完变量再报 p 值为什么严重高估显著性**</x:v>
      </x:c>
      <x:c r="P386" s="14" t="str">
        <x:v>10.1214/12-aos1077</x:v>
      </x:c>
      <x:c r="Q386" s="14" t="str"/>
      <x:c r="R386" s="17"/>
      <x:c r="S386" s="14" t="str"/>
      <x:c r="T386" s="14" t="str"/>
      <x:c r="U386" s="19" t="n">
        <x:v>46303</x:v>
      </x:c>
    </x:row>
    <x:row r="387" ht="68" customHeight="1">
      <x:c r="A387" s="14" t="str">
        <x:v>D-6E60179E</x:v>
      </x:c>
      <x:c r="B387" s="14" t="str">
        <x:v>需人工获取</x:v>
      </x:c>
      <x:c r="C387" s="14" t="str">
        <x:v>Quantile regression under misspecification, with an application to the U.S. wage structure</x:v>
      </x:c>
      <x:c r="D387" s="14" t="str">
        <x:v>英文</x:v>
      </x:c>
      <x:c r="E387" s="15" t="str">
        <x:v>未处理</x:v>
      </x:c>
      <x:c r="F387" s="15" t="str"/>
      <x:c r="G387" s="16" t="str">
        <x:v>https://doi.org/10.1111/j.1468-0262.2006.00671.x</x:v>
      </x:c>
      <x:c r="H387" s="14" t="str">
        <x:v>D09</x:v>
      </x:c>
      <x:c r="I387" s="14" t="str">
        <x:v>Angrist, J. D., Chernozhukov, V., &amp; Fernandez-Val, I.</x:v>
      </x:c>
      <x:c r="J387" s="18" t="n">
        <x:v>2006</x:v>
      </x:c>
      <x:c r="K387" s="14" t="str">
        <x:v>研究文献</x:v>
      </x:c>
      <x:c r="L387" s="14" t="str">
        <x:v>选读</x:v>
      </x:c>
      <x:c r="M387" s="14" t="str">
        <x:v>未取得全文；页面响应不能证明全文权限。</x:v>
      </x:c>
      <x:c r="N387" s="14" t="str">
        <x:v>从 DOI 或出版社页查看全文；也可使用学校图书馆或作者公开版本。</x:v>
      </x:c>
      <x:c r="O387" s="14" t="str">
        <x:v>**在解释分位数系数之前必读**：证明线性设定错误时，分位数回归估计的是一个加权最小距离近似，而不是真实的条件分位数函数——这意味着「效应在高分位更强」的结论可能是设定误差的产物</x:v>
      </x:c>
      <x:c r="P387" s="14" t="str">
        <x:v>10.1111/j.1468-0262.2006.00671.x</x:v>
      </x:c>
      <x:c r="Q387" s="14" t="str"/>
      <x:c r="R387" s="17"/>
      <x:c r="S387" s="14" t="str"/>
      <x:c r="T387" s="14" t="str"/>
      <x:c r="U387" s="19" t="n">
        <x:v>46303</x:v>
      </x:c>
    </x:row>
    <x:row r="388" ht="68" customHeight="1">
      <x:c r="A388" s="14" t="str">
        <x:v>D-297A8175</x:v>
      </x:c>
      <x:c r="B388" s="14" t="str">
        <x:v>需人工获取</x:v>
      </x:c>
      <x:c r="C388" s="14" t="str">
        <x:v>The Method of Path Coefficients</x:v>
      </x:c>
      <x:c r="D388" s="14" t="str">
        <x:v>英文</x:v>
      </x:c>
      <x:c r="E388" s="15" t="str">
        <x:v>未处理</x:v>
      </x:c>
      <x:c r="F388" s="15" t="str"/>
      <x:c r="G388" s="16" t="str">
        <x:v>https://doi.org/10.1214/aoms/1177732676</x:v>
      </x:c>
      <x:c r="H388" s="14" t="str">
        <x:v>E01；E02</x:v>
      </x:c>
      <x:c r="I388" s="14" t="str">
        <x:v>Wright</x:v>
      </x:c>
      <x:c r="J388" s="18" t="n">
        <x:v>1934</x:v>
      </x:c>
      <x:c r="K388" s="14" t="str">
        <x:v>文献</x:v>
      </x:c>
      <x:c r="L388" s="14" t="str">
        <x:v>选读</x:v>
      </x:c>
      <x:c r="M388" s="14" t="str">
        <x:v>未取得全文；页面响应不能证明全文权限。</x:v>
      </x:c>
      <x:c r="N388" s="14" t="str">
        <x:v>从 DOI 或出版社页查看全文；也可使用学校图书馆或作者公开版本。</x:v>
      </x:c>
      <x:c r="O388" s="14" t="str">
        <x:v>路径系数法的早期系统论述；区分路径分解与因果识别。</x:v>
      </x:c>
      <x:c r="P388" s="14" t="str">
        <x:v>10.1214/aoms/1177732676</x:v>
      </x:c>
      <x:c r="Q388" s="14" t="str"/>
      <x:c r="R388" s="17"/>
      <x:c r="S388" s="14" t="str"/>
      <x:c r="T388" s="14" t="str"/>
      <x:c r="U388" s="19" t="n">
        <x:v>46303</x:v>
      </x:c>
    </x:row>
    <x:row r="389" ht="68" customHeight="1">
      <x:c r="A389" s="14" t="str">
        <x:v>D-C14FA706</x:v>
      </x:c>
      <x:c r="B389" s="14" t="str">
        <x:v>需人工获取</x:v>
      </x:c>
      <x:c r="C389" s="14" t="str">
        <x:v>Manifest variable path analysis: Potentially serious and misleading consequences due to uncorrected measurement error</x:v>
      </x:c>
      <x:c r="D389" s="14" t="str">
        <x:v>英文</x:v>
      </x:c>
      <x:c r="E389" s="15" t="str">
        <x:v>未处理</x:v>
      </x:c>
      <x:c r="F389" s="15" t="str"/>
      <x:c r="G389" s="16" t="str">
        <x:v>https://doi.org/10.1037/a0033805</x:v>
      </x:c>
      <x:c r="H389" s="14" t="str">
        <x:v>E01；N06</x:v>
      </x:c>
      <x:c r="I389" s="14" t="str">
        <x:v>Cole, D. A., &amp; Preacher, K. J.</x:v>
      </x:c>
      <x:c r="J389" s="18" t="n">
        <x:v>2014</x:v>
      </x:c>
      <x:c r="K389" s="14" t="str">
        <x:v>研究文献</x:v>
      </x:c>
      <x:c r="L389" s="14" t="str">
        <x:v>选读</x:v>
      </x:c>
      <x:c r="M389" s="14" t="str">
        <x:v>未取得全文；页面响应不能证明全文权限。</x:v>
      </x:c>
      <x:c r="N389" s="14" t="str">
        <x:v>从 DOI 或出版社页查看全文；也可使用学校图书馆或作者公开版本。</x:v>
      </x:c>
      <x:c r="O389" s="14" t="str">
        <x:v>**观测变量路径分析的测量误差后果**：不只是低估，还可能让控制变量的效应被严重高估</x:v>
      </x:c>
      <x:c r="P389" s="14" t="str">
        <x:v>10.1037/a0033805</x:v>
      </x:c>
      <x:c r="Q389" s="14" t="str"/>
      <x:c r="R389" s="17"/>
      <x:c r="S389" s="14" t="str"/>
      <x:c r="T389" s="14" t="str"/>
      <x:c r="U389" s="19" t="n">
        <x:v>46303</x:v>
      </x:c>
    </x:row>
    <x:row r="390" ht="68" customHeight="1">
      <x:c r="A390" s="14" t="str">
        <x:v>D-1709540D</x:v>
      </x:c>
      <x:c r="B390" s="14" t="str">
        <x:v>需人工获取</x:v>
      </x:c>
      <x:c r="C390" s="14" t="str">
        <x:v>Bringing values back in: The adequacy of the European Social Survey to measure values in 20 countries</x:v>
      </x:c>
      <x:c r="D390" s="14" t="str">
        <x:v>英文</x:v>
      </x:c>
      <x:c r="E390" s="15" t="str">
        <x:v>未处理</x:v>
      </x:c>
      <x:c r="F390" s="15" t="str"/>
      <x:c r="G390" s="16" t="str">
        <x:v>https://doi.org/10.1093/poq/nfn035</x:v>
      </x:c>
      <x:c r="H390" s="14" t="str">
        <x:v>E02</x:v>
      </x:c>
      <x:c r="I390" s="14" t="str">
        <x:v>Davidov, E., Schmidt, P., &amp; Schwartz, S. H.</x:v>
      </x:c>
      <x:c r="J390" s="18" t="n">
        <x:v>2008</x:v>
      </x:c>
      <x:c r="K390" s="14" t="str">
        <x:v>研究文献</x:v>
      </x:c>
      <x:c r="L390" s="14" t="str">
        <x:v>选读</x:v>
      </x:c>
      <x:c r="M390" s="14" t="str">
        <x:v>未取得全文；页面响应不能证明全文权限。</x:v>
      </x:c>
      <x:c r="N390" s="14" t="str">
        <x:v>从 DOI 或出版社页查看全文；也可使用学校图书馆或作者公开版本。</x:v>
      </x:c>
      <x:c r="O390" s="14" t="str">
        <x:v>20 国代表样本的多组 CFA 与测量等值应用，明确区分关系可比、均值可比需要的不同证据</x:v>
      </x:c>
      <x:c r="P390" s="14" t="str">
        <x:v>10.1093/poq/nfn035</x:v>
      </x:c>
      <x:c r="Q390" s="14" t="str"/>
      <x:c r="R390" s="17"/>
      <x:c r="S390" s="14" t="str"/>
      <x:c r="T390" s="14" t="str"/>
      <x:c r="U390" s="19" t="n">
        <x:v>46303</x:v>
      </x:c>
    </x:row>
    <x:row r="391" ht="68" customHeight="1">
      <x:c r="A391" s="14" t="str">
        <x:v>D-A209BB28</x:v>
      </x:c>
      <x:c r="B391" s="14" t="str">
        <x:v>需人工获取</x:v>
      </x:c>
      <x:c r="C391" s="14" t="str">
        <x:v>Eight myths about causality and structural equation models</x:v>
      </x:c>
      <x:c r="D391" s="14" t="str">
        <x:v>英文</x:v>
      </x:c>
      <x:c r="E391" s="15" t="str">
        <x:v>未处理</x:v>
      </x:c>
      <x:c r="F391" s="15" t="str"/>
      <x:c r="G391" s="16" t="str">
        <x:v>https://doi.org/10.1007/978-94-007-6094-3_15</x:v>
      </x:c>
      <x:c r="H391" s="14" t="str">
        <x:v>E02</x:v>
      </x:c>
      <x:c r="I391" s="14" t="str">
        <x:v>Bollen, K. A., &amp; Pearl, J.</x:v>
      </x:c>
      <x:c r="J391" s="18" t="n">
        <x:v>2013</x:v>
      </x:c>
      <x:c r="K391" s="14" t="str">
        <x:v>研究文献</x:v>
      </x:c>
      <x:c r="L391" s="14" t="str">
        <x:v>选读</x:v>
      </x:c>
      <x:c r="M391" s="14" t="str">
        <x:v>未取得全文；页面响应不能证明全文权限。</x:v>
      </x:c>
      <x:c r="N391" s="14" t="str">
        <x:v>从 DOI 或出版社页查看全文；也可使用学校图书馆或作者公开版本。</x:v>
      </x:c>
      <x:c r="O391" s="14" t="str">
        <x:v>SEM 与因果推断的关系，两位大家合写，澄清了大量误解</x:v>
      </x:c>
      <x:c r="P391" s="14" t="str">
        <x:v>10.1007/978-94-007-6094-3_15</x:v>
      </x:c>
      <x:c r="Q391" s="14" t="str"/>
      <x:c r="R391" s="17"/>
      <x:c r="S391" s="14" t="str"/>
      <x:c r="T391" s="14" t="str"/>
      <x:c r="U391" s="19" t="n">
        <x:v>46303</x:v>
      </x:c>
    </x:row>
    <x:row r="392" ht="68" customHeight="1">
      <x:c r="A392" s="14" t="str">
        <x:v>D-58258B99</x:v>
      </x:c>
      <x:c r="B392" s="14" t="str">
        <x:v>需人工获取</x:v>
      </x:c>
      <x:c r="C392" s="14" t="str">
        <x:v>The problem of equivalent models in applications of covariance structure analysis</x:v>
      </x:c>
      <x:c r="D392" s="14" t="str">
        <x:v>英文</x:v>
      </x:c>
      <x:c r="E392" s="15" t="str">
        <x:v>未处理</x:v>
      </x:c>
      <x:c r="F392" s="15" t="str"/>
      <x:c r="G392" s="16" t="str">
        <x:v>https://doi.org/10.1037/0033-2909.114.1.185</x:v>
      </x:c>
      <x:c r="H392" s="14" t="str">
        <x:v>E02</x:v>
      </x:c>
      <x:c r="I392" s="14" t="str">
        <x:v>MacCallum, R. C., Wegener, D. T., Uchino, B. N., &amp; Fabrigar, L. R.</x:v>
      </x:c>
      <x:c r="J392" s="18" t="n">
        <x:v>1993</x:v>
      </x:c>
      <x:c r="K392" s="14" t="str">
        <x:v>研究文献</x:v>
      </x:c>
      <x:c r="L392" s="14" t="str">
        <x:v>选读</x:v>
      </x:c>
      <x:c r="M392" s="14" t="str">
        <x:v>未取得全文；页面响应不能证明全文权限。</x:v>
      </x:c>
      <x:c r="N392" s="14" t="str">
        <x:v>从 DOI 或出版社页查看全文；也可使用学校图书馆或作者公开版本。</x:v>
      </x:c>
      <x:c r="O392" s="14" t="str">
        <x:v>**等价模型问题的经典文献**。做 SEM 的人都该读一次</x:v>
      </x:c>
      <x:c r="P392" s="14" t="str">
        <x:v>10.1037/0033-2909.114.1.185</x:v>
      </x:c>
      <x:c r="Q392" s="14" t="str"/>
      <x:c r="R392" s="17"/>
      <x:c r="S392" s="14" t="str"/>
      <x:c r="T392" s="14" t="str"/>
      <x:c r="U392" s="19" t="n">
        <x:v>46303</x:v>
      </x:c>
    </x:row>
    <x:row r="393" ht="68" customHeight="1">
      <x:c r="A393" s="14" t="str">
        <x:v>D-E43E787A</x:v>
      </x:c>
      <x:c r="B393" s="14" t="str">
        <x:v>需人工获取</x:v>
      </x:c>
      <x:c r="C393" s="14" t="str">
        <x:v>Estimating latent variable interactions with nonnormal observed data</x:v>
      </x:c>
      <x:c r="D393" s="14" t="str">
        <x:v>英文</x:v>
      </x:c>
      <x:c r="E393" s="15" t="str">
        <x:v>未处理</x:v>
      </x:c>
      <x:c r="F393" s="15" t="str"/>
      <x:c r="G393" s="16" t="str">
        <x:v>https://doi.org/10.1080/00273171.2012.732901</x:v>
      </x:c>
      <x:c r="H393" s="14" t="str">
        <x:v>E04</x:v>
      </x:c>
      <x:c r="I393" s="14" t="str">
        <x:v>Cham, H., West, S. G., Ma, Y., &amp; Aiken, L. S.</x:v>
      </x:c>
      <x:c r="J393" s="18" t="n">
        <x:v>2012</x:v>
      </x:c>
      <x:c r="K393" s="14" t="str">
        <x:v>研究文献</x:v>
      </x:c>
      <x:c r="L393" s="14" t="str">
        <x:v>选读</x:v>
      </x:c>
      <x:c r="M393" s="14" t="str">
        <x:v>未取得全文；页面响应不能证明全文权限。</x:v>
      </x:c>
      <x:c r="N393" s="14" t="str">
        <x:v>从 DOI 或出版社页查看全文；也可使用学校图书馆或作者公开版本。</x:v>
      </x:c>
      <x:c r="O393" s="14" t="str">
        <x:v>非正态数据下各方法的表现</x:v>
      </x:c>
      <x:c r="P393" s="14" t="str">
        <x:v>10.1080/00273171.2012.732901</x:v>
      </x:c>
      <x:c r="Q393" s="14" t="str"/>
      <x:c r="R393" s="17"/>
      <x:c r="S393" s="14" t="str"/>
      <x:c r="T393" s="14" t="str"/>
      <x:c r="U393" s="19" t="n">
        <x:v>46303</x:v>
      </x:c>
    </x:row>
    <x:row r="394" ht="68" customHeight="1">
      <x:c r="A394" s="14" t="str">
        <x:v>D-523B9DC4</x:v>
      </x:c>
      <x:c r="B394" s="14" t="str">
        <x:v>需人工获取</x:v>
      </x:c>
      <x:c r="C394" s="14" t="str">
        <x:v>Testing measurement invariance in longitudinal data with ordered-categorical measures</x:v>
      </x:c>
      <x:c r="D394" s="14" t="str">
        <x:v>英文</x:v>
      </x:c>
      <x:c r="E394" s="15" t="str">
        <x:v>未处理</x:v>
      </x:c>
      <x:c r="F394" s="15" t="str"/>
      <x:c r="G394" s="16" t="str">
        <x:v>https://doi.org/10.1037/met0000075</x:v>
      </x:c>
      <x:c r="H394" s="14" t="str">
        <x:v>E05</x:v>
      </x:c>
      <x:c r="I394" s="14" t="str">
        <x:v>Liu, Y., Millsap, R. E., West, S. G., et al.</x:v>
      </x:c>
      <x:c r="J394" s="18" t="n">
        <x:v>2017</x:v>
      </x:c>
      <x:c r="K394" s="14" t="str">
        <x:v>研究文献</x:v>
      </x:c>
      <x:c r="L394" s="14" t="str">
        <x:v>选读</x:v>
      </x:c>
      <x:c r="M394" s="14" t="str">
        <x:v>未取得全文；页面响应不能证明全文权限。</x:v>
      </x:c>
      <x:c r="N394" s="14" t="str">
        <x:v>从 DOI 或出版社页查看全文；也可使用学校图书馆或作者公开版本。</x:v>
      </x:c>
      <x:c r="O394" s="14" t="str">
        <x:v>**纵向等值是潜增长的前提**，不做的话「变化」可能是假象</x:v>
      </x:c>
      <x:c r="P394" s="14" t="str">
        <x:v>10.1037/met0000075</x:v>
      </x:c>
      <x:c r="Q394" s="14" t="str"/>
      <x:c r="R394" s="17"/>
      <x:c r="S394" s="14" t="str"/>
      <x:c r="T394" s="14" t="str"/>
      <x:c r="U394" s="19" t="n">
        <x:v>46303</x:v>
      </x:c>
    </x:row>
    <x:row r="395" ht="68" customHeight="1">
      <x:c r="A395" s="14" t="str">
        <x:v>D-A855E3E5</x:v>
      </x:c>
      <x:c r="B395" s="14" t="str">
        <x:v>需人工获取</x:v>
      </x:c>
      <x:c r="C395" s="14" t="str">
        <x:v>Alcohol use trajectories and the ubiquitous cat's cradle</x:v>
      </x:c>
      <x:c r="D395" s="14" t="str">
        <x:v>英文</x:v>
      </x:c>
      <x:c r="E395" s="15" t="str">
        <x:v>未处理</x:v>
      </x:c>
      <x:c r="F395" s="15" t="str"/>
      <x:c r="G395" s="16" t="str">
        <x:v>https://doi.org/10.1037/a0021813</x:v>
      </x:c>
      <x:c r="H395" s="14" t="str">
        <x:v>E06</x:v>
      </x:c>
      <x:c r="I395" s="14" t="str">
        <x:v>Sher, K. J., Jackson, K. M., &amp; Steinley, D.</x:v>
      </x:c>
      <x:c r="J395" s="18" t="n">
        <x:v>2011</x:v>
      </x:c>
      <x:c r="K395" s="14" t="str">
        <x:v>研究文献</x:v>
      </x:c>
      <x:c r="L395" s="14" t="str">
        <x:v>选读</x:v>
      </x:c>
      <x:c r="M395" s="14" t="str">
        <x:v>未取得全文；页面响应不能证明全文权限。</x:v>
      </x:c>
      <x:c r="N395" s="14" t="str">
        <x:v>从 DOI 或出版社页查看全文；也可使用学校图书馆或作者公开版本。</x:v>
      </x:c>
      <x:c r="O395" s="14" t="str">
        <x:v>**同样的轨迹形态在无数不同领域反复「发现」**——提示它可能是方法的产物</x:v>
      </x:c>
      <x:c r="P395" s="14" t="str">
        <x:v>10.1037/a0021813</x:v>
      </x:c>
      <x:c r="Q395" s="14" t="str"/>
      <x:c r="R395" s="17"/>
      <x:c r="S395" s="14" t="str"/>
      <x:c r="T395" s="14" t="str"/>
      <x:c r="U395" s="19" t="n">
        <x:v>46303</x:v>
      </x:c>
    </x:row>
    <x:row r="396" ht="68" customHeight="1">
      <x:c r="A396" s="14" t="str">
        <x:v>D-3FEEE5EF</x:v>
      </x:c>
      <x:c r="B396" s="14" t="str">
        <x:v>需人工获取</x:v>
      </x:c>
      <x:c r="C396" s="14" t="str">
        <x:v>A critique of cross-lagged correlation</x:v>
      </x:c>
      <x:c r="D396" s="14" t="str">
        <x:v>英文</x:v>
      </x:c>
      <x:c r="E396" s="15" t="str">
        <x:v>未处理</x:v>
      </x:c>
      <x:c r="F396" s="15" t="str"/>
      <x:c r="G396" s="16" t="str">
        <x:v>https://doi.org/10.1037/0033-2909.88.2.245</x:v>
      </x:c>
      <x:c r="H396" s="14" t="str">
        <x:v>E07</x:v>
      </x:c>
      <x:c r="I396" s="14" t="str">
        <x:v>Rogosa, D.</x:v>
      </x:c>
      <x:c r="J396" s="18" t="n">
        <x:v>1980</x:v>
      </x:c>
      <x:c r="K396" s="14" t="str">
        <x:v>研究文献</x:v>
      </x:c>
      <x:c r="L396" s="14" t="str">
        <x:v>选读</x:v>
      </x:c>
      <x:c r="M396" s="14" t="str">
        <x:v>未取得全文；页面响应不能证明全文权限。</x:v>
      </x:c>
      <x:c r="N396" s="14" t="str">
        <x:v>从 DOI 或出版社页查看全文；也可使用学校图书馆或作者公开版本。</x:v>
      </x:c>
      <x:c r="O396" s="14" t="str">
        <x:v>**比 Hamaker 早 35 年的批评**——这个问题被指出过很多次</x:v>
      </x:c>
      <x:c r="P396" s="14" t="str">
        <x:v>10.1037/0033-2909.88.2.245</x:v>
      </x:c>
      <x:c r="Q396" s="14" t="str"/>
      <x:c r="R396" s="17"/>
      <x:c r="S396" s="14" t="str"/>
      <x:c r="T396" s="14" t="str"/>
      <x:c r="U396" s="19" t="n">
        <x:v>46303</x:v>
      </x:c>
    </x:row>
    <x:row r="397" ht="68" customHeight="1">
      <x:c r="A397" s="14" t="str">
        <x:v>D-D8E1C1F9</x:v>
      </x:c>
      <x:c r="B397" s="14" t="str">
        <x:v>需人工获取</x:v>
      </x:c>
      <x:c r="C397" s="14" t="str">
        <x:v>A critique of the cross-lagged panel model</x:v>
      </x:c>
      <x:c r="D397" s="14" t="str">
        <x:v>英文</x:v>
      </x:c>
      <x:c r="E397" s="15" t="str">
        <x:v>未处理</x:v>
      </x:c>
      <x:c r="F397" s="15" t="str"/>
      <x:c r="G397" s="16" t="str">
        <x:v>https://doi.org/10.1037/a0038889</x:v>
      </x:c>
      <x:c r="H397" s="14" t="str">
        <x:v>E07；E08；H07</x:v>
      </x:c>
      <x:c r="I397" s="14" t="str">
        <x:v>Hamaker, E. L., Kuiper, R. M., &amp; Grasman, R. P. P. P.</x:v>
      </x:c>
      <x:c r="J397" s="18" t="n">
        <x:v>2015</x:v>
      </x:c>
      <x:c r="K397" s="14" t="str">
        <x:v>研究文献</x:v>
      </x:c>
      <x:c r="L397" s="14" t="str">
        <x:v>选读</x:v>
      </x:c>
      <x:c r="M397" s="14" t="str">
        <x:v>未取得全文；页面响应不能证明全文权限。</x:v>
      </x:c>
      <x:c r="N397" s="14" t="str">
        <x:v>从 DOI 或出版社页查看全文；也可使用学校图书馆或作者公开版本。</x:v>
      </x:c>
      <x:c r="O397" s="14" t="str">
        <x:v>**读了这篇就不该再单独用 CLPM**</x:v>
      </x:c>
      <x:c r="P397" s="14" t="str">
        <x:v>10.1037/a0038889</x:v>
      </x:c>
      <x:c r="Q397" s="14" t="str"/>
      <x:c r="R397" s="17"/>
      <x:c r="S397" s="14" t="str"/>
      <x:c r="T397" s="14" t="str"/>
      <x:c r="U397" s="19" t="n">
        <x:v>46303</x:v>
      </x:c>
    </x:row>
    <x:row r="398" ht="68" customHeight="1">
      <x:c r="A398" s="14" t="str">
        <x:v>D-18240866</x:v>
      </x:c>
      <x:c r="B398" s="14" t="str">
        <x:v>需人工获取</x:v>
      </x:c>
      <x:c r="C398" s="14" t="str">
        <x:v>A comparison of different approaches for estimating cross-lagged effects from a causal inference perspective</x:v>
      </x:c>
      <x:c r="D398" s="14" t="str">
        <x:v>英文</x:v>
      </x:c>
      <x:c r="E398" s="15" t="str">
        <x:v>未处理</x:v>
      </x:c>
      <x:c r="F398" s="15" t="str"/>
      <x:c r="G398" s="16" t="str">
        <x:v>https://doi.org/10.31234/osf.io/gcvb4</x:v>
      </x:c>
      <x:c r="H398" s="14" t="str">
        <x:v>E08</x:v>
      </x:c>
      <x:c r="I398" s="14" t="str">
        <x:v>Lüdtke, O., &amp; Robitzsch, A.</x:v>
      </x:c>
      <x:c r="J398" s="18" t="n">
        <x:v>2022</x:v>
      </x:c>
      <x:c r="K398" s="14" t="str">
        <x:v>研究文献</x:v>
      </x:c>
      <x:c r="L398" s="14" t="str">
        <x:v>选读</x:v>
      </x:c>
      <x:c r="M398" s="14" t="str">
        <x:v>未取得全文；页面响应不能证明全文权限。</x:v>
      </x:c>
      <x:c r="N398" s="14" t="str">
        <x:v>从 DOI 或出版社页查看全文；也可使用学校图书馆或作者公开版本。</x:v>
      </x:c>
      <x:c r="O398" s="14" t="str">
        <x:v>从因果推断视角评估各种交叉滞后模型，指出 RI-CLPM 也有它自己的识别假设 链接为作者公开稿或工作论文，可能与正式发表版在年份、题名或内容上不同；引用时请核对所用版本。</x:v>
      </x:c>
      <x:c r="P398" s="14" t="str">
        <x:v>10.31234/osf.io/gcvb4</x:v>
      </x:c>
      <x:c r="Q398" s="14" t="str"/>
      <x:c r="R398" s="17"/>
      <x:c r="S398" s="14" t="str"/>
      <x:c r="T398" s="14" t="str"/>
      <x:c r="U398" s="19" t="n">
        <x:v>46303</x:v>
      </x:c>
    </x:row>
    <x:row r="399" ht="68" customHeight="1">
      <x:c r="A399" s="14" t="str">
        <x:v>D-0923610A</x:v>
      </x:c>
      <x:c r="B399" s="14" t="str">
        <x:v>需人工获取</x:v>
      </x:c>
      <x:c r="C399" s="14" t="str">
        <x:v>A critical examination of common beliefs about partial least squares path modeling</x:v>
      </x:c>
      <x:c r="D399" s="14" t="str">
        <x:v>英文</x:v>
      </x:c>
      <x:c r="E399" s="15" t="str">
        <x:v>未处理</x:v>
      </x:c>
      <x:c r="F399" s="15" t="str"/>
      <x:c r="G399" s="16" t="str">
        <x:v>https://doi.org/10.1177/1094428112474693</x:v>
      </x:c>
      <x:c r="H399" s="14" t="str">
        <x:v>E09</x:v>
      </x:c>
      <x:c r="I399" s="14" t="str">
        <x:v>Rönkkö, M., &amp; Evermann, J.</x:v>
      </x:c>
      <x:c r="J399" s="18" t="n">
        <x:v>2013</x:v>
      </x:c>
      <x:c r="K399" s="14" t="str">
        <x:v>研究文献</x:v>
      </x:c>
      <x:c r="L399" s="14" t="str">
        <x:v>选读</x:v>
      </x:c>
      <x:c r="M399" s="14" t="str">
        <x:v>未取得全文；页面响应不能证明全文权限。</x:v>
      </x:c>
      <x:c r="N399" s="14" t="str">
        <x:v>从 DOI 或出版社页查看全文；也可使用学校图书馆或作者公开版本。</x:v>
      </x:c>
      <x:c r="O399" s="14" t="str">
        <x:v>逐条检验 PLS 支持者的常见主张</x:v>
      </x:c>
      <x:c r="P399" s="14" t="str">
        <x:v>10.1177/1094428112474693</x:v>
      </x:c>
      <x:c r="Q399" s="14" t="str"/>
      <x:c r="R399" s="17"/>
      <x:c r="S399" s="14" t="str"/>
      <x:c r="T399" s="14" t="str"/>
      <x:c r="U399" s="19" t="n">
        <x:v>46303</x:v>
      </x:c>
    </x:row>
    <x:row r="400" ht="68" customHeight="1">
      <x:c r="A400" s="14" t="str">
        <x:v>D-5304040C</x:v>
      </x:c>
      <x:c r="B400" s="14" t="str">
        <x:v>需人工获取</x:v>
      </x:c>
      <x:c r="C400" s="14" t="str">
        <x:v>Partial least squares path modeling: Time for some serious second thoughts</x:v>
      </x:c>
      <x:c r="D400" s="14" t="str">
        <x:v>英文</x:v>
      </x:c>
      <x:c r="E400" s="15" t="str">
        <x:v>未处理</x:v>
      </x:c>
      <x:c r="F400" s="15" t="str"/>
      <x:c r="G400" s="16" t="str">
        <x:v>https://doi.org/10.1016/j.jom.2016.05.002</x:v>
      </x:c>
      <x:c r="H400" s="14" t="str">
        <x:v>E09</x:v>
      </x:c>
      <x:c r="I400" s="14" t="str">
        <x:v>Rönkkö, M., McIntosh, C. N., Antonakis, J., &amp; Edwards, J. R.</x:v>
      </x:c>
      <x:c r="J400" s="18" t="n">
        <x:v>2016</x:v>
      </x:c>
      <x:c r="K400" s="14" t="str">
        <x:v>研究文献</x:v>
      </x:c>
      <x:c r="L400" s="14" t="str">
        <x:v>选读</x:v>
      </x:c>
      <x:c r="M400" s="14" t="str">
        <x:v>未取得全文；页面响应不能证明全文权限。</x:v>
      </x:c>
      <x:c r="N400" s="14" t="str">
        <x:v>从 DOI 或出版社页查看全文；也可使用学校图书馆或作者公开版本。</x:v>
      </x:c>
      <x:c r="O400" s="14" t="str">
        <x:v>**对 PLS-SEM 的系统性严厉批评**：一致性偏误、「小样本优势」缺乏依据。必须与推广文献对读</x:v>
      </x:c>
      <x:c r="P400" s="14" t="str">
        <x:v>10.1016/j.jom.2016.05.002</x:v>
      </x:c>
      <x:c r="Q400" s="14" t="str"/>
      <x:c r="R400" s="17"/>
      <x:c r="S400" s="14" t="str"/>
      <x:c r="T400" s="14" t="str"/>
      <x:c r="U400" s="19" t="n">
        <x:v>46303</x:v>
      </x:c>
    </x:row>
    <x:row r="401" ht="68" customHeight="1">
      <x:c r="A401" s="14" t="str">
        <x:v>D-D6D6EA33</x:v>
      </x:c>
      <x:c r="B401" s="14" t="str">
        <x:v>需人工获取</x:v>
      </x:c>
      <x:c r="C401" s="14" t="str">
        <x:v>The prowess and pitfalls of Bayesian structural equation modeling</x:v>
      </x:c>
      <x:c r="D401" s="14" t="str">
        <x:v>英文</x:v>
      </x:c>
      <x:c r="E401" s="15" t="str">
        <x:v>未处理</x:v>
      </x:c>
      <x:c r="F401" s="15" t="str"/>
      <x:c r="G401" s="16" t="str">
        <x:v>https://doi.org/10.1177/0149206314551962</x:v>
      </x:c>
      <x:c r="H401" s="14" t="str">
        <x:v>E10</x:v>
      </x:c>
      <x:c r="I401" s="14" t="str">
        <x:v>Stromeyer, W. R., Miller, J. W., Sriramachandramurthy, R., &amp; DeMartino, R.</x:v>
      </x:c>
      <x:c r="J401" s="18" t="n">
        <x:v>2015</x:v>
      </x:c>
      <x:c r="K401" s="14" t="str">
        <x:v>研究文献</x:v>
      </x:c>
      <x:c r="L401" s="14" t="str">
        <x:v>选读</x:v>
      </x:c>
      <x:c r="M401" s="14" t="str">
        <x:v>未取得全文；页面响应不能证明全文权限。</x:v>
      </x:c>
      <x:c r="N401" s="14" t="str">
        <x:v>从 DOI 或出版社页查看全文；也可使用学校图书馆或作者公开版本。</x:v>
      </x:c>
      <x:c r="O401" s="14" t="str">
        <x:v>**BSEM 的先验敏感性问题**：换一组先验结论可能完全不同</x:v>
      </x:c>
      <x:c r="P401" s="14" t="str">
        <x:v>10.1177/0149206314551962</x:v>
      </x:c>
      <x:c r="Q401" s="14" t="str"/>
      <x:c r="R401" s="17"/>
      <x:c r="S401" s="14" t="str"/>
      <x:c r="T401" s="14" t="str"/>
      <x:c r="U401" s="19" t="n">
        <x:v>46303</x:v>
      </x:c>
    </x:row>
    <x:row r="402" ht="68" customHeight="1">
      <x:c r="A402" s="14" t="str">
        <x:v>D-122C3C03</x:v>
      </x:c>
      <x:c r="B402" s="14" t="str">
        <x:v>需人工获取</x:v>
      </x:c>
      <x:c r="C402" s="14" t="str">
        <x:v>A multilevel, multivariate model for studying school climate with estimation via the EM algorithm and application to U.S. high-school data</x:v>
      </x:c>
      <x:c r="D402" s="14" t="str">
        <x:v>英文</x:v>
      </x:c>
      <x:c r="E402" s="15" t="str">
        <x:v>未处理</x:v>
      </x:c>
      <x:c r="F402" s="15" t="str"/>
      <x:c r="G402" s="16" t="str">
        <x:v>https://doi.org/10.2307/1165105</x:v>
      </x:c>
      <x:c r="H402" s="14" t="str">
        <x:v>F01</x:v>
      </x:c>
      <x:c r="I402" s="14" t="str">
        <x:v>Raudenbush, S. W., Rowan, B., &amp; Kang, S. J.</x:v>
      </x:c>
      <x:c r="J402" s="18" t="n">
        <x:v>1991</x:v>
      </x:c>
      <x:c r="K402" s="14" t="str">
        <x:v>研究文献</x:v>
      </x:c>
      <x:c r="L402" s="14" t="str">
        <x:v>选读</x:v>
      </x:c>
      <x:c r="M402" s="14" t="str">
        <x:v>未取得全文；页面响应不能证明全文权限。</x:v>
      </x:c>
      <x:c r="N402" s="14" t="str">
        <x:v>从 DOI 或出版社页查看全文；也可使用学校图书馆或作者公开版本。</x:v>
      </x:c>
      <x:c r="O402" s="14" t="str">
        <x:v>把学生嵌套学校的结构、学校气候测量与多元结局放在同一模型，是教育领域多层应用的经典实例</x:v>
      </x:c>
      <x:c r="P402" s="14" t="str">
        <x:v>10.2307/1165105</x:v>
      </x:c>
      <x:c r="Q402" s="14" t="str"/>
      <x:c r="R402" s="17"/>
      <x:c r="S402" s="14" t="str"/>
      <x:c r="T402" s="14" t="str"/>
      <x:c r="U402" s="19" t="n">
        <x:v>46303</x:v>
      </x:c>
    </x:row>
    <x:row r="403" ht="68" customHeight="1">
      <x:c r="A403" s="14" t="str">
        <x:v>D-02625073</x:v>
      </x:c>
      <x:c r="B403" s="14" t="str">
        <x:v>需人工获取</x:v>
      </x:c>
      <x:c r="C403" s="14" t="str">
        <x:v>The effect of small sample size on two-level model estimates: A review and illustration</x:v>
      </x:c>
      <x:c r="D403" s="14" t="str">
        <x:v>英文</x:v>
      </x:c>
      <x:c r="E403" s="15" t="str">
        <x:v>未处理</x:v>
      </x:c>
      <x:c r="F403" s="15" t="str"/>
      <x:c r="G403" s="16" t="str">
        <x:v>https://doi.org/10.1007/s10648-014-9287-x</x:v>
      </x:c>
      <x:c r="H403" s="14" t="str">
        <x:v>F01</x:v>
      </x:c>
      <x:c r="I403" s="14" t="str">
        <x:v>McNeish, D., &amp; Stapleton, L. M.</x:v>
      </x:c>
      <x:c r="J403" s="18" t="n">
        <x:v>2016</x:v>
      </x:c>
      <x:c r="K403" s="14" t="str">
        <x:v>研究文献</x:v>
      </x:c>
      <x:c r="L403" s="14" t="str">
        <x:v>选读</x:v>
      </x:c>
      <x:c r="M403" s="14" t="str">
        <x:v>未取得全文；页面响应不能证明全文权限。</x:v>
      </x:c>
      <x:c r="N403" s="14" t="str">
        <x:v>从 DOI 或出版社页查看全文；也可使用学校图书馆或作者公开版本。</x:v>
      </x:c>
      <x:c r="O403" s="14" t="str">
        <x:v>组数少时会发生什么，以及该怎么办</x:v>
      </x:c>
      <x:c r="P403" s="14" t="str">
        <x:v>10.1007/s10648-014-9287-x</x:v>
      </x:c>
      <x:c r="Q403" s="14" t="str"/>
      <x:c r="R403" s="17"/>
      <x:c r="S403" s="14" t="str"/>
      <x:c r="T403" s="14" t="str"/>
      <x:c r="U403" s="19" t="n">
        <x:v>46303</x:v>
      </x:c>
    </x:row>
    <x:row r="404" ht="68" customHeight="1">
      <x:c r="A404" s="14" t="str">
        <x:v>D-40A960BE</x:v>
      </x:c>
      <x:c r="B404" s="14" t="str">
        <x:v>需人工获取</x:v>
      </x:c>
      <x:c r="C404" s="14" t="str">
        <x:v>Testing multilevel mediation using hierarchical linear models: Problems and solutions</x:v>
      </x:c>
      <x:c r="D404" s="14" t="str">
        <x:v>英文</x:v>
      </x:c>
      <x:c r="E404" s="15" t="str">
        <x:v>未处理</x:v>
      </x:c>
      <x:c r="F404" s="15" t="str"/>
      <x:c r="G404" s="16" t="str">
        <x:v>https://doi.org/10.5465/ambpp.2008.33716518</x:v>
      </x:c>
      <x:c r="H404" s="14" t="str">
        <x:v>F02</x:v>
      </x:c>
      <x:c r="I404" s="14" t="str">
        <x:v>Zhang, Z., Zyphur, M. J., &amp; Preacher, K. J.</x:v>
      </x:c>
      <x:c r="J404" s="18" t="n">
        <x:v>2009</x:v>
      </x:c>
      <x:c r="K404" s="14" t="str">
        <x:v>研究文献</x:v>
      </x:c>
      <x:c r="L404" s="14" t="str">
        <x:v>选读</x:v>
      </x:c>
      <x:c r="M404" s="14" t="str">
        <x:v>未取得全文；页面响应不能证明全文权限。</x:v>
      </x:c>
      <x:c r="N404" s="14" t="str">
        <x:v>从 DOI 或出版社页查看全文；也可使用学校图书馆或作者公开版本。</x:v>
      </x:c>
      <x:c r="O404" s="14" t="str">
        <x:v>**不做中心化会得到既非个体内也非组间的混合物**</x:v>
      </x:c>
      <x:c r="P404" s="14" t="str">
        <x:v>10.5465/ambpp.2008.33716518</x:v>
      </x:c>
      <x:c r="Q404" s="14" t="str"/>
      <x:c r="R404" s="17"/>
      <x:c r="S404" s="14" t="str"/>
      <x:c r="T404" s="14" t="str"/>
      <x:c r="U404" s="19" t="n">
        <x:v>46303</x:v>
      </x:c>
    </x:row>
    <x:row r="405" ht="68" customHeight="1">
      <x:c r="A405" s="14" t="str">
        <x:v>D-ED1C4E86</x:v>
      </x:c>
      <x:c r="B405" s="14" t="str">
        <x:v>需人工获取</x:v>
      </x:c>
      <x:c r="C405" s="14" t="str">
        <x:v>Treating stimuli as a random factor in social psychology: A new and comprehensive solution to a pervasive but largely ignored problem</x:v>
      </x:c>
      <x:c r="D405" s="14" t="str">
        <x:v>英文</x:v>
      </x:c>
      <x:c r="E405" s="15" t="str">
        <x:v>未处理</x:v>
      </x:c>
      <x:c r="F405" s="15" t="str"/>
      <x:c r="G405" s="16" t="str">
        <x:v>https://doi.org/10.1037/a0028347</x:v>
      </x:c>
      <x:c r="H405" s="14" t="str">
        <x:v>F03</x:v>
      </x:c>
      <x:c r="I405" s="14" t="str">
        <x:v>Judd, C. M., Westfall, J., &amp; Kenny, D. A.</x:v>
      </x:c>
      <x:c r="J405" s="18" t="n">
        <x:v>2012</x:v>
      </x:c>
      <x:c r="K405" s="14" t="str">
        <x:v>研究文献</x:v>
      </x:c>
      <x:c r="L405" s="14" t="str">
        <x:v>选读</x:v>
      </x:c>
      <x:c r="M405" s="14" t="str">
        <x:v>未取得全文；页面响应不能证明全文权限。</x:v>
      </x:c>
      <x:c r="N405" s="14" t="str">
        <x:v>从 DOI 或出版社页查看全文；也可使用学校图书馆或作者公开版本。</x:v>
      </x:c>
      <x:c r="O405" s="14" t="str">
        <x:v>**社会心理学实验必读**：把刺激当固定效应会大幅夸大显著性</x:v>
      </x:c>
      <x:c r="P405" s="14" t="str">
        <x:v>10.1037/a0028347</x:v>
      </x:c>
      <x:c r="Q405" s="14" t="str"/>
      <x:c r="R405" s="17"/>
      <x:c r="S405" s="14" t="str"/>
      <x:c r="T405" s="14" t="str"/>
      <x:c r="U405" s="19" t="n">
        <x:v>46303</x:v>
      </x:c>
    </x:row>
    <x:row r="406" ht="68" customHeight="1">
      <x:c r="A406" s="14" t="str">
        <x:v>D-FA94DC18</x:v>
      </x:c>
      <x:c r="B406" s="14" t="str">
        <x:v>需人工获取</x:v>
      </x:c>
      <x:c r="C406" s="14" t="str">
        <x:v>Analyzing dyadic data with multilevel modeling versus structural equation modeling: A tale of two methods</x:v>
      </x:c>
      <x:c r="D406" s="14" t="str">
        <x:v>英文</x:v>
      </x:c>
      <x:c r="E406" s="15" t="str">
        <x:v>未处理</x:v>
      </x:c>
      <x:c r="F406" s="15" t="str"/>
      <x:c r="G406" s="16" t="str">
        <x:v>https://doi.org/10.1037/fam0000290</x:v>
      </x:c>
      <x:c r="H406" s="14" t="str">
        <x:v>F04</x:v>
      </x:c>
      <x:c r="I406" s="14" t="str">
        <x:v>Ledermann, T., &amp; Kenny, D. A.</x:v>
      </x:c>
      <x:c r="J406" s="18" t="n">
        <x:v>2017</x:v>
      </x:c>
      <x:c r="K406" s="14" t="str">
        <x:v>研究文献</x:v>
      </x:c>
      <x:c r="L406" s="14" t="str">
        <x:v>选读</x:v>
      </x:c>
      <x:c r="M406" s="14" t="str">
        <x:v>未取得全文；页面响应不能证明全文权限。</x:v>
      </x:c>
      <x:c r="N406" s="14" t="str">
        <x:v>从 DOI 或出版社页查看全文；也可使用学校图书馆或作者公开版本。</x:v>
      </x:c>
      <x:c r="O406" s="14" t="str">
        <x:v>**做二人数据之前必读**：两位作者（其中一位就是 APIM 的提出者）逐条比较多层与 SEM 两条路线，指出它们并非可互换，在可区分性、缺失处理、模型检验能力上各有硬性限制——反驳了「随便选一条都行」的常见做法</x:v>
      </x:c>
      <x:c r="P406" s="14" t="str">
        <x:v>10.1037/fam0000290</x:v>
      </x:c>
      <x:c r="Q406" s="14" t="str"/>
      <x:c r="R406" s="17"/>
      <x:c r="S406" s="14" t="str"/>
      <x:c r="T406" s="14" t="str"/>
      <x:c r="U406" s="19" t="n">
        <x:v>46303</x:v>
      </x:c>
    </x:row>
    <x:row r="407" ht="68" customHeight="1">
      <x:c r="A407" s="14" t="str">
        <x:v>D-D527B808</x:v>
      </x:c>
      <x:c r="B407" s="14" t="str">
        <x:v>需人工获取</x:v>
      </x:c>
      <x:c r="C407" s="14" t="str">
        <x:v>What you can—and can't—do with three-wave panel data</x:v>
      </x:c>
      <x:c r="D407" s="14" t="str">
        <x:v>英文</x:v>
      </x:c>
      <x:c r="E407" s="15" t="str">
        <x:v>未处理</x:v>
      </x:c>
      <x:c r="F407" s="15" t="str"/>
      <x:c r="G407" s="16" t="str">
        <x:v>https://doi.org/10.1177/0049124114547769</x:v>
      </x:c>
      <x:c r="H407" s="14" t="str">
        <x:v>F05</x:v>
      </x:c>
      <x:c r="I407" s="14" t="str">
        <x:v>Vaisey, S., &amp; Miles, A.</x:v>
      </x:c>
      <x:c r="J407" s="18" t="n">
        <x:v>2017</x:v>
      </x:c>
      <x:c r="K407" s="14" t="str">
        <x:v>研究文献</x:v>
      </x:c>
      <x:c r="L407" s="14" t="str">
        <x:v>选读</x:v>
      </x:c>
      <x:c r="M407" s="14" t="str">
        <x:v>未取得全文；页面响应不能证明全文权限。</x:v>
      </x:c>
      <x:c r="N407" s="14" t="str">
        <x:v>从 DOI 或出版社页查看全文；也可使用学校图书馆或作者公开版本。</x:v>
      </x:c>
      <x:c r="O407" s="14" t="str">
        <x:v>**三波面板数据到底能说明什么**：FE 的能力边界，以及它与交叉滞后的关系</x:v>
      </x:c>
      <x:c r="P407" s="14" t="str">
        <x:v>10.1177/0049124114547769</x:v>
      </x:c>
      <x:c r="Q407" s="14" t="str"/>
      <x:c r="R407" s="17"/>
      <x:c r="S407" s="14" t="str"/>
      <x:c r="T407" s="14" t="str"/>
      <x:c r="U407" s="19" t="n">
        <x:v>46303</x:v>
      </x:c>
    </x:row>
    <x:row r="408" ht="68" customHeight="1">
      <x:c r="A408" s="14" t="str">
        <x:v>D-4A0B6483</x:v>
      </x:c>
      <x:c r="B408" s="14" t="str">
        <x:v>需人工获取</x:v>
      </x:c>
      <x:c r="C408" s="14" t="str">
        <x:v>When should we use unit fixed effects regression models for causal inference with longitudinal data?</x:v>
      </x:c>
      <x:c r="D408" s="14" t="str">
        <x:v>英文</x:v>
      </x:c>
      <x:c r="E408" s="15" t="str">
        <x:v>未处理</x:v>
      </x:c>
      <x:c r="F408" s="15" t="str"/>
      <x:c r="G408" s="16" t="str">
        <x:v>https://doi.org/10.1111/ajps.12417</x:v>
      </x:c>
      <x:c r="H408" s="14" t="str">
        <x:v>F05</x:v>
      </x:c>
      <x:c r="I408" s="14" t="str">
        <x:v>Imai, K., &amp; Kim, I. S.</x:v>
      </x:c>
      <x:c r="J408" s="18" t="n">
        <x:v>2019</x:v>
      </x:c>
      <x:c r="K408" s="14" t="str">
        <x:v>研究文献</x:v>
      </x:c>
      <x:c r="L408" s="14" t="str">
        <x:v>选读</x:v>
      </x:c>
      <x:c r="M408" s="14" t="str">
        <x:v>未取得全文；页面响应不能证明全文权限。</x:v>
      </x:c>
      <x:c r="N408" s="14" t="str">
        <x:v>从 DOI 或出版社页查看全文；也可使用学校图书馆或作者公开版本。</x:v>
      </x:c>
      <x:c r="O408" s="14" t="str">
        <x:v>**FE 的因果解释需要什么假设**——比多数人以为的强</x:v>
      </x:c>
      <x:c r="P408" s="14" t="str">
        <x:v>10.1111/ajps.12417</x:v>
      </x:c>
      <x:c r="Q408" s="14" t="str"/>
      <x:c r="R408" s="17"/>
      <x:c r="S408" s="14" t="str"/>
      <x:c r="T408" s="14" t="str"/>
      <x:c r="U408" s="19" t="n">
        <x:v>46303</x:v>
      </x:c>
    </x:row>
    <x:row r="409" ht="68" customHeight="1">
      <x:c r="A409" s="14" t="str">
        <x:v>D-0CDC3809</x:v>
      </x:c>
      <x:c r="B409" s="14" t="str">
        <x:v>需人工获取</x:v>
      </x:c>
      <x:c r="C409" s="14" t="str">
        <x:v>Using generalized estimating equations for longitudinal data analysis</x:v>
      </x:c>
      <x:c r="D409" s="14" t="str">
        <x:v>英文</x:v>
      </x:c>
      <x:c r="E409" s="15" t="str">
        <x:v>未处理</x:v>
      </x:c>
      <x:c r="F409" s="15" t="str"/>
      <x:c r="G409" s="16" t="str">
        <x:v>https://doi.org/10.1177/1094428104263672</x:v>
      </x:c>
      <x:c r="H409" s="14" t="str">
        <x:v>F06</x:v>
      </x:c>
      <x:c r="I409" s="14" t="str">
        <x:v>Ballinger, G. A.</x:v>
      </x:c>
      <x:c r="J409" s="18" t="n">
        <x:v>2004</x:v>
      </x:c>
      <x:c r="K409" s="14" t="str">
        <x:v>研究文献</x:v>
      </x:c>
      <x:c r="L409" s="14" t="str">
        <x:v>选读</x:v>
      </x:c>
      <x:c r="M409" s="14" t="str">
        <x:v>未取得全文；页面响应不能证明全文权限。</x:v>
      </x:c>
      <x:c r="N409" s="14" t="str">
        <x:v>从 DOI 或出版社页查看全文；也可使用学校图书馆或作者公开版本。</x:v>
      </x:c>
      <x:c r="O409" s="14" t="str">
        <x:v>写给组织行为学的 GEE 教程</x:v>
      </x:c>
      <x:c r="P409" s="14" t="str">
        <x:v>10.1177/1094428104263672</x:v>
      </x:c>
      <x:c r="Q409" s="14" t="str"/>
      <x:c r="R409" s="17"/>
      <x:c r="S409" s="14" t="str"/>
      <x:c r="T409" s="14" t="str"/>
      <x:c r="U409" s="19" t="n">
        <x:v>46303</x:v>
      </x:c>
    </x:row>
    <x:row r="410" ht="68" customHeight="1">
      <x:c r="A410" s="14" t="str">
        <x:v>D-75B2D9C9</x:v>
      </x:c>
      <x:c r="B410" s="14" t="str">
        <x:v>需人工获取</x:v>
      </x:c>
      <x:c r="C410" s="14" t="str">
        <x:v>Are Emily and Greg more employable than Lakisha and Jamal? A field experiment on labor market discrimination</x:v>
      </x:c>
      <x:c r="D410" s="14" t="str">
        <x:v>英文</x:v>
      </x:c>
      <x:c r="E410" s="15" t="str">
        <x:v>未处理</x:v>
      </x:c>
      <x:c r="F410" s="15" t="str"/>
      <x:c r="G410" s="16" t="str">
        <x:v>https://doi.org/10.3386/w9873</x:v>
      </x:c>
      <x:c r="H410" s="14" t="str">
        <x:v>G01</x:v>
      </x:c>
      <x:c r="I410" s="14" t="str">
        <x:v>Bertrand, M., &amp; Mullainathan, S.</x:v>
      </x:c>
      <x:c r="J410" s="18" t="n">
        <x:v>2004</x:v>
      </x:c>
      <x:c r="K410" s="14" t="str">
        <x:v>研究文献</x:v>
      </x:c>
      <x:c r="L410" s="14" t="str">
        <x:v>选读</x:v>
      </x:c>
      <x:c r="M410" s="14" t="str">
        <x:v>未取得全文；页面响应不能证明全文权限。</x:v>
      </x:c>
      <x:c r="N410" s="14" t="str">
        <x:v>从 DOI 或出版社页查看全文；也可使用学校图书馆或作者公开版本。</x:v>
      </x:c>
      <x:c r="O410" s="14" t="str">
        <x:v>**「没有操纵就没有因果」的经典解法**：把不可操纵的族裔变成可操纵的「简历上的名字」</x:v>
      </x:c>
      <x:c r="P410" s="14" t="str">
        <x:v>10.3386/w9873</x:v>
      </x:c>
      <x:c r="Q410" s="14" t="str"/>
      <x:c r="R410" s="17"/>
      <x:c r="S410" s="14" t="str"/>
      <x:c r="T410" s="14" t="str"/>
      <x:c r="U410" s="19" t="n">
        <x:v>46303</x:v>
      </x:c>
    </x:row>
    <x:row r="411" ht="68" customHeight="1">
      <x:c r="A411" s="14" t="str">
        <x:v>D-350B7DF7</x:v>
      </x:c>
      <x:c r="B411" s="14" t="str">
        <x:v>需人工获取</x:v>
      </x:c>
      <x:c r="C411" s="14" t="str">
        <x:v>Causal inference in statistics: An overview</x:v>
      </x:c>
      <x:c r="D411" s="14" t="str">
        <x:v>英文</x:v>
      </x:c>
      <x:c r="E411" s="15" t="str">
        <x:v>未处理</x:v>
      </x:c>
      <x:c r="F411" s="15" t="str"/>
      <x:c r="G411" s="16" t="str">
        <x:v>https://doi.org/10.1214/09-ss057</x:v>
      </x:c>
      <x:c r="H411" s="14" t="str">
        <x:v>G01</x:v>
      </x:c>
      <x:c r="I411" s="14" t="str">
        <x:v>Pearl, J.</x:v>
      </x:c>
      <x:c r="J411" s="18" t="n">
        <x:v>2009</x:v>
      </x:c>
      <x:c r="K411" s="14" t="str">
        <x:v>研究文献</x:v>
      </x:c>
      <x:c r="L411" s="14" t="str">
        <x:v>选读</x:v>
      </x:c>
      <x:c r="M411" s="14" t="str">
        <x:v>未取得全文；页面响应不能证明全文权限。</x:v>
      </x:c>
      <x:c r="N411" s="14" t="str">
        <x:v>从 DOI 或出版社页查看全文；也可使用学校图书馆或作者公开版本。</x:v>
      </x:c>
      <x:c r="O411" s="14" t="str">
        <x:v>Pearl 对潜在结果框架的评论——他认为图模型更基本。两派之争值得知道</x:v>
      </x:c>
      <x:c r="P411" s="14" t="str">
        <x:v>10.1214/09-ss057</x:v>
      </x:c>
      <x:c r="Q411" s="14" t="str"/>
      <x:c r="R411" s="17"/>
      <x:c r="S411" s="14" t="str"/>
      <x:c r="T411" s="14" t="str"/>
      <x:c r="U411" s="19" t="n">
        <x:v>46303</x:v>
      </x:c>
    </x:row>
    <x:row r="412" ht="68" customHeight="1">
      <x:c r="A412" s="14" t="str">
        <x:v>D-C79ED9D0</x:v>
      </x:c>
      <x:c r="B412" s="14" t="str">
        <x:v>需人工获取</x:v>
      </x:c>
      <x:c r="C412" s="14" t="str">
        <x:v>Causal knowledge as a prerequisite for confounding evaluation: An application to birth defects epidemiology</x:v>
      </x:c>
      <x:c r="D412" s="14" t="str">
        <x:v>英文</x:v>
      </x:c>
      <x:c r="E412" s="15" t="str">
        <x:v>未处理</x:v>
      </x:c>
      <x:c r="F412" s="15" t="str"/>
      <x:c r="G412" s="16" t="str">
        <x:v>https://doi.org/10.1093/aje/155.2.176</x:v>
      </x:c>
      <x:c r="H412" s="14" t="str">
        <x:v>G02</x:v>
      </x:c>
      <x:c r="I412" s="14" t="str">
        <x:v>Hernán, M. A., Hernández-Díaz, S., Werler, M. M., &amp; Mitchell, A. A.</x:v>
      </x:c>
      <x:c r="J412" s="18" t="n">
        <x:v>2002</x:v>
      </x:c>
      <x:c r="K412" s="14" t="str">
        <x:v>研究文献</x:v>
      </x:c>
      <x:c r="L412" s="14" t="str">
        <x:v>选读</x:v>
      </x:c>
      <x:c r="M412" s="14" t="str">
        <x:v>未取得全文；页面响应不能证明全文权限。</x:v>
      </x:c>
      <x:c r="N412" s="14" t="str">
        <x:v>从 DOI 或出版社页查看全文；也可使用学校图书馆或作者公开版本。</x:v>
      </x:c>
      <x:c r="O412" s="14" t="str">
        <x:v>用出生缺陷研究展示为什么调整集必须由因果知识决定，而不能按显著性或系数变化机械筛选</x:v>
      </x:c>
      <x:c r="P412" s="14" t="str">
        <x:v>10.1093/aje/155.2.176</x:v>
      </x:c>
      <x:c r="Q412" s="14" t="str"/>
      <x:c r="R412" s="17"/>
      <x:c r="S412" s="14" t="str"/>
      <x:c r="T412" s="14" t="str"/>
      <x:c r="U412" s="19" t="n">
        <x:v>46303</x:v>
      </x:c>
    </x:row>
    <x:row r="413" ht="68" customHeight="1">
      <x:c r="A413" s="14" t="str">
        <x:v>D-49A9669C</x:v>
      </x:c>
      <x:c r="B413" s="14" t="str">
        <x:v>需人工获取</x:v>
      </x:c>
      <x:c r="C413" s="14" t="str">
        <x:v>Statistical control requires causal justification</x:v>
      </x:c>
      <x:c r="D413" s="14" t="str">
        <x:v>英文</x:v>
      </x:c>
      <x:c r="E413" s="15" t="str">
        <x:v>未处理</x:v>
      </x:c>
      <x:c r="F413" s="15" t="str"/>
      <x:c r="G413" s="16" t="str">
        <x:v>https://doi.org/10.31234/osf.io/j9vw4</x:v>
      </x:c>
      <x:c r="H413" s="14" t="str">
        <x:v>G02；M16</x:v>
      </x:c>
      <x:c r="I413" s="14" t="str">
        <x:v>Wysocki, A. C., Lawson, K. M., &amp; Rhemtulla, M.</x:v>
      </x:c>
      <x:c r="J413" s="18" t="n">
        <x:v>2022</x:v>
      </x:c>
      <x:c r="K413" s="14" t="str">
        <x:v>研究文献</x:v>
      </x:c>
      <x:c r="L413" s="14" t="str">
        <x:v>选读</x:v>
      </x:c>
      <x:c r="M413" s="14" t="str">
        <x:v>未取得全文；页面响应不能证明全文权限。</x:v>
      </x:c>
      <x:c r="N413" s="14" t="str">
        <x:v>从 DOI 或出版社页查看全文；也可使用学校图书馆或作者公开版本。</x:v>
      </x:c>
      <x:c r="O413" s="14" t="str">
        <x:v>**直接针对心理学「常规控制人口学变量」的习惯**：这可能引入而不是消除偏误 链接为作者公开稿或工作论文，可能与正式发表版在年份、题名或内容上不同；引用时请核对所用版本。</x:v>
      </x:c>
      <x:c r="P413" s="14" t="str">
        <x:v>10.31234/osf.io/j9vw4</x:v>
      </x:c>
      <x:c r="Q413" s="14" t="str"/>
      <x:c r="R413" s="17"/>
      <x:c r="S413" s="14" t="str"/>
      <x:c r="T413" s="14" t="str"/>
      <x:c r="U413" s="19" t="n">
        <x:v>46303</x:v>
      </x:c>
    </x:row>
    <x:row r="414" ht="68" customHeight="1">
      <x:c r="A414" s="14" t="str">
        <x:v>D-09F792C2</x:v>
      </x:c>
      <x:c r="B414" s="14" t="str">
        <x:v>需人工获取</x:v>
      </x:c>
      <x:c r="C414" s="14" t="str">
        <x:v>Causal effects in nonexperimental studies: Reevaluating the evaluation of training programs</x:v>
      </x:c>
      <x:c r="D414" s="14" t="str">
        <x:v>英文</x:v>
      </x:c>
      <x:c r="E414" s="15" t="str">
        <x:v>未处理</x:v>
      </x:c>
      <x:c r="F414" s="15" t="str"/>
      <x:c r="G414" s="16" t="str">
        <x:v>https://doi.org/10.1080/01621459.1999.10473858</x:v>
      </x:c>
      <x:c r="H414" s="14" t="str">
        <x:v>G03</x:v>
      </x:c>
      <x:c r="I414" s="14" t="str">
        <x:v>Dehejia, R. H., &amp; Wahba, S.</x:v>
      </x:c>
      <x:c r="J414" s="18" t="n">
        <x:v>1999</x:v>
      </x:c>
      <x:c r="K414" s="14" t="str">
        <x:v>研究文献</x:v>
      </x:c>
      <x:c r="L414" s="14" t="str">
        <x:v>选读</x:v>
      </x:c>
      <x:c r="M414" s="14" t="str">
        <x:v>未取得全文；页面响应不能证明全文权限。</x:v>
      </x:c>
      <x:c r="N414" s="14" t="str">
        <x:v>从 DOI 或出版社页查看全文；也可使用学校图书馆或作者公开版本。</x:v>
      </x:c>
      <x:c r="O414" s="14" t="str">
        <x:v>用 NSW 培训项目实验基准检验非实验倾向得分方法，展示重叠、设定与比较组选择如何决定结果</x:v>
      </x:c>
      <x:c r="P414" s="14" t="str">
        <x:v>10.1080/01621459.1999.10473858</x:v>
      </x:c>
      <x:c r="Q414" s="14" t="str"/>
      <x:c r="R414" s="17"/>
      <x:c r="S414" s="14" t="str"/>
      <x:c r="T414" s="14" t="str"/>
      <x:c r="U414" s="19" t="n">
        <x:v>46303</x:v>
      </x:c>
    </x:row>
    <x:row r="415" ht="68" customHeight="1">
      <x:c r="A415" s="14" t="str">
        <x:v>D-77FAAF78</x:v>
      </x:c>
      <x:c r="B415" s="14" t="str">
        <x:v>需人工获取</x:v>
      </x:c>
      <x:c r="C415" s="14" t="str">
        <x:v>Implications of the propensity score matching paradox in pharmacoepidemiology</x:v>
      </x:c>
      <x:c r="D415" s="14" t="str">
        <x:v>英文</x:v>
      </x:c>
      <x:c r="E415" s="15" t="str">
        <x:v>未处理</x:v>
      </x:c>
      <x:c r="F415" s="15" t="str"/>
      <x:c r="G415" s="16" t="str">
        <x:v>https://doi.org/10.1093/aje/kwy078</x:v>
      </x:c>
      <x:c r="H415" s="14" t="str">
        <x:v>G03</x:v>
      </x:c>
      <x:c r="I415" s="14" t="str">
        <x:v>Ripollone, J. E., Huybrechts, K. F., Rothman, K. J., et al.</x:v>
      </x:c>
      <x:c r="J415" s="18" t="n">
        <x:v>2018</x:v>
      </x:c>
      <x:c r="K415" s="14" t="str">
        <x:v>研究文献</x:v>
      </x:c>
      <x:c r="L415" s="14" t="str">
        <x:v>选读</x:v>
      </x:c>
      <x:c r="M415" s="14" t="str">
        <x:v>未取得全文；页面响应不能证明全文权限。</x:v>
      </x:c>
      <x:c r="N415" s="14" t="str">
        <x:v>从 DOI 或出版社页查看全文；也可使用学校图书馆或作者公开版本。</x:v>
      </x:c>
      <x:c r="O415" s="14" t="str">
        <x:v>在真实数据上检验 King &amp; Nielsen 的批评，结论更温和——值得和上一篇对读</x:v>
      </x:c>
      <x:c r="P415" s="14" t="str">
        <x:v>10.1093/aje/kwy078</x:v>
      </x:c>
      <x:c r="Q415" s="14" t="str"/>
      <x:c r="R415" s="17"/>
      <x:c r="S415" s="14" t="str"/>
      <x:c r="T415" s="14" t="str"/>
      <x:c r="U415" s="19" t="n">
        <x:v>46303</x:v>
      </x:c>
    </x:row>
    <x:row r="416" ht="68" customHeight="1">
      <x:c r="A416" s="14" t="str">
        <x:v>D-AB4524AA</x:v>
      </x:c>
      <x:c r="B416" s="14" t="str">
        <x:v>需人工获取</x:v>
      </x:c>
      <x:c r="C416" s="14" t="str">
        <x:v>Why propensity scores should not be used for matching</x:v>
      </x:c>
      <x:c r="D416" s="14" t="str">
        <x:v>英文</x:v>
      </x:c>
      <x:c r="E416" s="15" t="str">
        <x:v>未处理</x:v>
      </x:c>
      <x:c r="F416" s="15" t="str"/>
      <x:c r="G416" s="16" t="str">
        <x:v>https://doi.org/10.1017/pan.2019.11</x:v>
      </x:c>
      <x:c r="H416" s="14" t="str">
        <x:v>G03；G04</x:v>
      </x:c>
      <x:c r="I416" s="14" t="str">
        <x:v>King, G., &amp; Nielsen, R.</x:v>
      </x:c>
      <x:c r="J416" s="18" t="n">
        <x:v>2019</x:v>
      </x:c>
      <x:c r="K416" s="14" t="str">
        <x:v>研究文献</x:v>
      </x:c>
      <x:c r="L416" s="14" t="str">
        <x:v>选读</x:v>
      </x:c>
      <x:c r="M416" s="14" t="str">
        <x:v>未取得全文；页面响应不能证明全文权限。</x:v>
      </x:c>
      <x:c r="N416" s="14" t="str">
        <x:v>从 DOI 或出版社页查看全文；也可使用学校图书馆或作者公开版本。</x:v>
      </x:c>
      <x:c r="O416" s="14" t="str">
        <x:v>**匹配悖论**：PSM 可能增加不平衡。标题很激进，论证很扎实，必读</x:v>
      </x:c>
      <x:c r="P416" s="14" t="str">
        <x:v>10.1017/pan.2019.11</x:v>
      </x:c>
      <x:c r="Q416" s="14" t="str"/>
      <x:c r="R416" s="17"/>
      <x:c r="S416" s="14" t="str"/>
      <x:c r="T416" s="14" t="str"/>
      <x:c r="U416" s="19" t="n">
        <x:v>46303</x:v>
      </x:c>
    </x:row>
    <x:row r="417" ht="68" customHeight="1">
      <x:c r="A417" s="14" t="str">
        <x:v>D-30CB921E</x:v>
      </x:c>
      <x:c r="B417" s="14" t="str">
        <x:v>需人工获取</x:v>
      </x:c>
      <x:c r="C417" s="14" t="str">
        <x:v>Handle with care: A sociologist's guide to causal inference with instrumental variables</x:v>
      </x:c>
      <x:c r="D417" s="14" t="str">
        <x:v>英文</x:v>
      </x:c>
      <x:c r="E417" s="15" t="str">
        <x:v>未处理</x:v>
      </x:c>
      <x:c r="F417" s="15" t="str"/>
      <x:c r="G417" s="16" t="str">
        <x:v>https://doi.org/10.1177/00491241241235900</x:v>
      </x:c>
      <x:c r="H417" s="14" t="str">
        <x:v>G05</x:v>
      </x:c>
      <x:c r="I417" s="14" t="str">
        <x:v>Felton, C., &amp; Stewart, B. M.</x:v>
      </x:c>
      <x:c r="J417" s="18" t="n">
        <x:v>2024</x:v>
      </x:c>
      <x:c r="K417" s="14" t="str">
        <x:v>研究文献</x:v>
      </x:c>
      <x:c r="L417" s="14" t="str">
        <x:v>选读</x:v>
      </x:c>
      <x:c r="M417" s="14" t="str">
        <x:v>未取得全文；页面响应不能证明全文权限。</x:v>
      </x:c>
      <x:c r="N417" s="14" t="str">
        <x:v>从 DOI 或出版社页查看全文；也可使用学校图书馆或作者公开版本。</x:v>
      </x:c>
      <x:c r="O417" s="14" t="str">
        <x:v>**写给社会学的 IV 指南**，列举了社会科学中常见工具的排他性问题</x:v>
      </x:c>
      <x:c r="P417" s="14" t="str">
        <x:v>10.1177/00491241241235900</x:v>
      </x:c>
      <x:c r="Q417" s="14" t="str"/>
      <x:c r="R417" s="17"/>
      <x:c r="S417" s="14" t="str"/>
      <x:c r="T417" s="14" t="str"/>
      <x:c r="U417" s="19" t="n">
        <x:v>46303</x:v>
      </x:c>
    </x:row>
    <x:row r="418" ht="68" customHeight="1">
      <x:c r="A418" s="14" t="str">
        <x:v>D-405E3F0A</x:v>
      </x:c>
      <x:c r="B418" s="14" t="str">
        <x:v>需人工获取</x:v>
      </x:c>
      <x:c r="C418" s="14" t="str">
        <x:v>Problems with instrumental variables estimation when the correlation between the instruments and the endogenous explanatory variable is weak</x:v>
      </x:c>
      <x:c r="D418" s="14" t="str">
        <x:v>英文</x:v>
      </x:c>
      <x:c r="E418" s="15" t="str">
        <x:v>未处理</x:v>
      </x:c>
      <x:c r="F418" s="15" t="str"/>
      <x:c r="G418" s="16" t="str">
        <x:v>https://doi.org/10.1080/01621459.1995.10476536</x:v>
      </x:c>
      <x:c r="H418" s="14" t="str">
        <x:v>G05</x:v>
      </x:c>
      <x:c r="I418" s="14" t="str">
        <x:v>Bound, J., Jaeger, D. A., &amp; Baker, R. M.</x:v>
      </x:c>
      <x:c r="J418" s="18" t="n">
        <x:v>1995</x:v>
      </x:c>
      <x:c r="K418" s="14" t="str">
        <x:v>研究文献</x:v>
      </x:c>
      <x:c r="L418" s="14" t="str">
        <x:v>选读</x:v>
      </x:c>
      <x:c r="M418" s="14" t="str">
        <x:v>未取得全文；页面响应不能证明全文权限。</x:v>
      </x:c>
      <x:c r="N418" s="14" t="str">
        <x:v>从 DOI 或出版社页查看全文；也可使用学校图书馆或作者公开版本。</x:v>
      </x:c>
      <x:c r="O418" s="14" t="str">
        <x:v>**弱工具问题的经典文献**：弱工具下 IV 的偏误可能比 OLS 更严重</x:v>
      </x:c>
      <x:c r="P418" s="14" t="str">
        <x:v>10.1080/01621459.1995.10476536</x:v>
      </x:c>
      <x:c r="Q418" s="14" t="str"/>
      <x:c r="R418" s="17"/>
      <x:c r="S418" s="14" t="str"/>
      <x:c r="T418" s="14" t="str"/>
      <x:c r="U418" s="19" t="n">
        <x:v>46303</x:v>
      </x:c>
    </x:row>
    <x:row r="419" ht="68" customHeight="1">
      <x:c r="A419" s="14" t="str">
        <x:v>D-2A443B39</x:v>
      </x:c>
      <x:c r="B419" s="14" t="str">
        <x:v>需人工获取</x:v>
      </x:c>
      <x:c r="C419" s="14" t="str">
        <x:v>Valid t-ratio inference for IV</x:v>
      </x:c>
      <x:c r="D419" s="14" t="str">
        <x:v>英文</x:v>
      </x:c>
      <x:c r="E419" s="15" t="str">
        <x:v>未处理</x:v>
      </x:c>
      <x:c r="F419" s="15" t="str"/>
      <x:c r="G419" s="16" t="str">
        <x:v>https://doi.org/10.3386/w29124</x:v>
      </x:c>
      <x:c r="H419" s="14" t="str">
        <x:v>G05</x:v>
      </x:c>
      <x:c r="I419" s="14" t="str">
        <x:v>Lee, D. S., McCrary, J., Moreira, M. J., &amp; Porter, J.</x:v>
      </x:c>
      <x:c r="J419" s="18" t="n">
        <x:v>2022</x:v>
      </x:c>
      <x:c r="K419" s="14" t="str">
        <x:v>研究文献</x:v>
      </x:c>
      <x:c r="L419" s="14" t="str">
        <x:v>选读</x:v>
      </x:c>
      <x:c r="M419" s="14" t="str">
        <x:v>未取得全文；页面响应不能证明全文权限。</x:v>
      </x:c>
      <x:c r="N419" s="14" t="str">
        <x:v>从 DOI 或出版社页查看全文；也可使用学校图书馆或作者公开版本。</x:v>
      </x:c>
      <x:c r="O419" s="14" t="str">
        <x:v>**F &gt; 10 这条老规则不够**，给出了更严格的 tF 检验</x:v>
      </x:c>
      <x:c r="P419" s="14" t="str">
        <x:v>10.3386/w29124</x:v>
      </x:c>
      <x:c r="Q419" s="14" t="str"/>
      <x:c r="R419" s="17"/>
      <x:c r="S419" s="14" t="str"/>
      <x:c r="T419" s="14" t="str"/>
      <x:c r="U419" s="19" t="n">
        <x:v>46303</x:v>
      </x:c>
    </x:row>
    <x:row r="420" ht="68" customHeight="1">
      <x:c r="A420" s="14" t="str">
        <x:v>D-AC6ACAF6</x:v>
      </x:c>
      <x:c r="B420" s="14" t="str">
        <x:v>需人工获取</x:v>
      </x:c>
      <x:c r="C420" s="14" t="str">
        <x:v>Randomized experiments from non-random selection in U.S. House elections</x:v>
      </x:c>
      <x:c r="D420" s="14" t="str">
        <x:v>英文</x:v>
      </x:c>
      <x:c r="E420" s="15" t="str">
        <x:v>未处理</x:v>
      </x:c>
      <x:c r="F420" s="15" t="str"/>
      <x:c r="G420" s="16" t="str">
        <x:v>https://doi.org/10.1016/j.jeconom.2007.05.004</x:v>
      </x:c>
      <x:c r="H420" s="14" t="str">
        <x:v>G06</x:v>
      </x:c>
      <x:c r="I420" s="14" t="str">
        <x:v>Lee, D. S.</x:v>
      </x:c>
      <x:c r="J420" s="18" t="n">
        <x:v>2008</x:v>
      </x:c>
      <x:c r="K420" s="14" t="str">
        <x:v>研究文献</x:v>
      </x:c>
      <x:c r="L420" s="14" t="str">
        <x:v>选读</x:v>
      </x:c>
      <x:c r="M420" s="14" t="str">
        <x:v>未取得全文；页面响应不能证明全文权限。</x:v>
      </x:c>
      <x:c r="N420" s="14" t="str">
        <x:v>从 DOI 或出版社页查看全文；也可使用学校图书馆或作者公开版本。</x:v>
      </x:c>
      <x:c r="O420" s="14" t="str">
        <x:v>选举 RDD 的经典范例，也是「50% 得票率断点」这一整类研究的起点</x:v>
      </x:c>
      <x:c r="P420" s="14" t="str">
        <x:v>10.1016/j.jeconom.2007.05.004</x:v>
      </x:c>
      <x:c r="Q420" s="14" t="str"/>
      <x:c r="R420" s="17"/>
      <x:c r="S420" s="14" t="str"/>
      <x:c r="T420" s="14" t="str"/>
      <x:c r="U420" s="19" t="n">
        <x:v>46303</x:v>
      </x:c>
    </x:row>
    <x:row r="421" ht="68" customHeight="1">
      <x:c r="A421" s="14" t="str">
        <x:v>D-4DF2CC1E</x:v>
      </x:c>
      <x:c r="B421" s="14" t="str">
        <x:v>需人工获取</x:v>
      </x:c>
      <x:c r="C421" s="14" t="str">
        <x:v>Why high-order polynomials should not be used in regression discontinuity designs</x:v>
      </x:c>
      <x:c r="D421" s="14" t="str">
        <x:v>英文</x:v>
      </x:c>
      <x:c r="E421" s="15" t="str">
        <x:v>未处理</x:v>
      </x:c>
      <x:c r="F421" s="15" t="str"/>
      <x:c r="G421" s="16" t="str">
        <x:v>https://doi.org/10.3386/w20405</x:v>
      </x:c>
      <x:c r="H421" s="14" t="str">
        <x:v>G06</x:v>
      </x:c>
      <x:c r="I421" s="14" t="str">
        <x:v>Gelman, A., &amp; Imbens, G.</x:v>
      </x:c>
      <x:c r="J421" s="18" t="n">
        <x:v>2019</x:v>
      </x:c>
      <x:c r="K421" s="14" t="str">
        <x:v>研究文献</x:v>
      </x:c>
      <x:c r="L421" s="14" t="str">
        <x:v>选读</x:v>
      </x:c>
      <x:c r="M421" s="14" t="str">
        <x:v>未取得全文；页面响应不能证明全文权限。</x:v>
      </x:c>
      <x:c r="N421" s="14" t="str">
        <x:v>从 DOI 或出版社页查看全文；也可使用学校图书馆或作者公开版本。</x:v>
      </x:c>
      <x:c r="O421" s="14" t="str">
        <x:v>**标题即结论**。用高阶多项式的旧 RDD 研究需要重新审视</x:v>
      </x:c>
      <x:c r="P421" s="14" t="str">
        <x:v>10.3386/w20405</x:v>
      </x:c>
      <x:c r="Q421" s="14" t="str"/>
      <x:c r="R421" s="17"/>
      <x:c r="S421" s="14" t="str"/>
      <x:c r="T421" s="14" t="str"/>
      <x:c r="U421" s="19" t="n">
        <x:v>46303</x:v>
      </x:c>
    </x:row>
    <x:row r="422" ht="68" customHeight="1">
      <x:c r="A422" s="14" t="str">
        <x:v>D-5006D602</x:v>
      </x:c>
      <x:c r="B422" s="14" t="str">
        <x:v>需人工获取</x:v>
      </x:c>
      <x:c r="C422" s="14" t="str">
        <x:v>Early coverage, access, utilization, and health effects associated with the Affordable Care Act Medicaid expansions: A quasi-experimental study</x:v>
      </x:c>
      <x:c r="D422" s="14" t="str">
        <x:v>英文</x:v>
      </x:c>
      <x:c r="E422" s="15" t="str">
        <x:v>未处理</x:v>
      </x:c>
      <x:c r="F422" s="15" t="str"/>
      <x:c r="G422" s="16" t="str">
        <x:v>https://doi.org/10.7326/m15-2234</x:v>
      </x:c>
      <x:c r="H422" s="14" t="str">
        <x:v>G07</x:v>
      </x:c>
      <x:c r="I422" s="14" t="str">
        <x:v>Wherry, L. R., &amp; Miller, S.</x:v>
      </x:c>
      <x:c r="J422" s="18" t="n">
        <x:v>2016</x:v>
      </x:c>
      <x:c r="K422" s="14" t="str">
        <x:v>研究文献</x:v>
      </x:c>
      <x:c r="L422" s="14" t="str">
        <x:v>选读</x:v>
      </x:c>
      <x:c r="M422" s="14" t="str">
        <x:v>未取得全文；页面响应不能证明全文权限。</x:v>
      </x:c>
      <x:c r="N422" s="14" t="str">
        <x:v>从 DOI 或出版社页查看全文；也可使用学校图书馆或作者公开版本。</x:v>
      </x:c>
      <x:c r="O422" s="14" t="str">
        <x:v>以扩张州和未扩张州的前后变化评估 Medicaid 政策，是公共卫生论文呈现 DiD 设计、限制与实质效应的清楚范例</x:v>
      </x:c>
      <x:c r="P422" s="14" t="str">
        <x:v>10.7326/m15-2234</x:v>
      </x:c>
      <x:c r="Q422" s="14" t="str"/>
      <x:c r="R422" s="17"/>
      <x:c r="S422" s="14" t="str"/>
      <x:c r="T422" s="14" t="str"/>
      <x:c r="U422" s="19" t="n">
        <x:v>46303</x:v>
      </x:c>
    </x:row>
    <x:row r="423" ht="68" customHeight="1">
      <x:c r="A423" s="14" t="str">
        <x:v>D-8EA43067</x:v>
      </x:c>
      <x:c r="B423" s="14" t="str">
        <x:v>需人工获取</x:v>
      </x:c>
      <x:c r="C423" s="14" t="str">
        <x:v>How much should we trust differences-in-differences estimates?</x:v>
      </x:c>
      <x:c r="D423" s="14" t="str">
        <x:v>英文</x:v>
      </x:c>
      <x:c r="E423" s="15" t="str">
        <x:v>未处理</x:v>
      </x:c>
      <x:c r="F423" s="15" t="str"/>
      <x:c r="G423" s="16" t="str">
        <x:v>https://doi.org/10.3386/w8841</x:v>
      </x:c>
      <x:c r="H423" s="14" t="str">
        <x:v>G07</x:v>
      </x:c>
      <x:c r="I423" s="14" t="str">
        <x:v>Bertrand, M., Duflo, E., &amp; Mullainathan, S.</x:v>
      </x:c>
      <x:c r="J423" s="18" t="n">
        <x:v>2004</x:v>
      </x:c>
      <x:c r="K423" s="14" t="str">
        <x:v>研究文献</x:v>
      </x:c>
      <x:c r="L423" s="14" t="str">
        <x:v>选读</x:v>
      </x:c>
      <x:c r="M423" s="14" t="str">
        <x:v>未取得全文；页面响应不能证明全文权限。</x:v>
      </x:c>
      <x:c r="N423" s="14" t="str">
        <x:v>从 DOI 或出版社页查看全文；也可使用学校图书馆或作者公开版本。</x:v>
      </x:c>
      <x:c r="O423" s="14" t="str">
        <x:v>**聚类标准误的来源**。证明忽略序列相关会让假阳性率从 5% 涨到 45%</x:v>
      </x:c>
      <x:c r="P423" s="14" t="str">
        <x:v>10.3386/w8841</x:v>
      </x:c>
      <x:c r="Q423" s="14" t="str"/>
      <x:c r="R423" s="17"/>
      <x:c r="S423" s="14" t="str"/>
      <x:c r="T423" s="14" t="str"/>
      <x:c r="U423" s="19" t="n">
        <x:v>46303</x:v>
      </x:c>
    </x:row>
    <x:row r="424" ht="68" customHeight="1">
      <x:c r="A424" s="14" t="str">
        <x:v>D-01A484EF</x:v>
      </x:c>
      <x:c r="B424" s="14" t="str">
        <x:v>需人工获取</x:v>
      </x:c>
      <x:c r="C424" s="14" t="str">
        <x:v>Pretest with caution: Event-study estimates after testing for parallel trends</x:v>
      </x:c>
      <x:c r="D424" s="14" t="str">
        <x:v>英文</x:v>
      </x:c>
      <x:c r="E424" s="15" t="str">
        <x:v>未处理</x:v>
      </x:c>
      <x:c r="F424" s="15" t="str"/>
      <x:c r="G424" s="16" t="str">
        <x:v>https://doi.org/10.1257/aeri.20210236</x:v>
      </x:c>
      <x:c r="H424" s="14" t="str">
        <x:v>G07</x:v>
      </x:c>
      <x:c r="I424" s="14" t="str">
        <x:v>Roth, J.</x:v>
      </x:c>
      <x:c r="J424" s="18" t="n">
        <x:v>2022</x:v>
      </x:c>
      <x:c r="K424" s="14" t="str">
        <x:v>研究文献</x:v>
      </x:c>
      <x:c r="L424" s="14" t="str">
        <x:v>选读</x:v>
      </x:c>
      <x:c r="M424" s="14" t="str">
        <x:v>未取得全文；页面响应不能证明全文权限。</x:v>
      </x:c>
      <x:c r="N424" s="14" t="str">
        <x:v>从 DOI 或出版社页查看全文；也可使用学校图书馆或作者公开版本。</x:v>
      </x:c>
      <x:c r="O424" s="14" t="str">
        <x:v>检验前趋势本身会引入偏误——检验通过的样本是被选择过的</x:v>
      </x:c>
      <x:c r="P424" s="14" t="str">
        <x:v>10.1257/aeri.20210236</x:v>
      </x:c>
      <x:c r="Q424" s="14" t="str"/>
      <x:c r="R424" s="17"/>
      <x:c r="S424" s="14" t="str"/>
      <x:c r="T424" s="14" t="str"/>
      <x:c r="U424" s="19" t="n">
        <x:v>46303</x:v>
      </x:c>
    </x:row>
    <x:row r="425" ht="68" customHeight="1">
      <x:c r="A425" s="14" t="str">
        <x:v>D-50303B78</x:v>
      </x:c>
      <x:c r="B425" s="14" t="str">
        <x:v>需人工获取</x:v>
      </x:c>
      <x:c r="C425" s="14" t="str">
        <x:v>How much should we trust staggered difference-in-differences estimates?</x:v>
      </x:c>
      <x:c r="D425" s="14" t="str">
        <x:v>英文</x:v>
      </x:c>
      <x:c r="E425" s="15" t="str">
        <x:v>未处理</x:v>
      </x:c>
      <x:c r="F425" s="15" t="str"/>
      <x:c r="G425" s="16" t="str">
        <x:v>https://doi.org/10.1016/j.jfineco.2022.01.004</x:v>
      </x:c>
      <x:c r="H425" s="14" t="str">
        <x:v>G08</x:v>
      </x:c>
      <x:c r="I425" s="14" t="str">
        <x:v>Baker, A. C., Larcker, D. F., &amp; Wang, C. C. Y.</x:v>
      </x:c>
      <x:c r="J425" s="18" t="n">
        <x:v>2022</x:v>
      </x:c>
      <x:c r="K425" s="14" t="str">
        <x:v>研究文献</x:v>
      </x:c>
      <x:c r="L425" s="14" t="str">
        <x:v>选读</x:v>
      </x:c>
      <x:c r="M425" s="14" t="str">
        <x:v>未取得全文；页面响应不能证明全文权限。</x:v>
      </x:c>
      <x:c r="N425" s="14" t="str">
        <x:v>从 DOI 或出版社页查看全文；也可使用学校图书馆或作者公开版本。</x:v>
      </x:c>
      <x:c r="O425" s="14" t="str">
        <x:v>**用真实已发表文献做重估**：把交错 DiD 研究用新估计量重跑，看结论改变的比例。理解这次方法学更新影响面的最好材料</x:v>
      </x:c>
      <x:c r="P425" s="14" t="str">
        <x:v>10.1016/j.jfineco.2022.01.004</x:v>
      </x:c>
      <x:c r="Q425" s="14" t="str"/>
      <x:c r="R425" s="17"/>
      <x:c r="S425" s="14" t="str"/>
      <x:c r="T425" s="14" t="str"/>
      <x:c r="U425" s="19" t="n">
        <x:v>46303</x:v>
      </x:c>
    </x:row>
    <x:row r="426" ht="68" customHeight="1">
      <x:c r="A426" s="14" t="str">
        <x:v>D-0E7BBEE2</x:v>
      </x:c>
      <x:c r="B426" s="14" t="str">
        <x:v>需人工获取</x:v>
      </x:c>
      <x:c r="C426" s="14" t="str">
        <x:v>When Can We Use Two-Way Fixed Effects (TWFE)? A Comparison of TWFE and Novel Dynamic Difference-in-Differences Estimators</x:v>
      </x:c>
      <x:c r="D426" s="14" t="str">
        <x:v>英文</x:v>
      </x:c>
      <x:c r="E426" s="15" t="str">
        <x:v>未处理</x:v>
      </x:c>
      <x:c r="F426" s="15" t="str"/>
      <x:c r="G426" s="16" t="str">
        <x:v>https://doi.org/10.1177/00811750261484940</x:v>
      </x:c>
      <x:c r="H426" s="14" t="str">
        <x:v>G08；G16；G18；G19；H12</x:v>
      </x:c>
      <x:c r="I426" s="14" t="str">
        <x:v>Tobias Rüttenauer; Ozan Aksoy</x:v>
      </x:c>
      <x:c r="J426" s="18" t="n">
        <x:v>2026</x:v>
      </x:c>
      <x:c r="K426" s="14" t="str">
        <x:v>文献</x:v>
      </x:c>
      <x:c r="L426" s="14" t="str">
        <x:v>选读</x:v>
      </x:c>
      <x:c r="M426" s="14" t="str">
        <x:v>未取得全文；页面响应不能证明全文权限。</x:v>
      </x:c>
      <x:c r="N426" s="14" t="str">
        <x:v>从 DOI 或出版社页查看全文；也可使用学校图书馆或作者公开版本。</x:v>
      </x:c>
      <x:c r="O426" s="14" t="str">
        <x:v>比较 TWFE 与动态 DiD 估计量的适用情境。</x:v>
      </x:c>
      <x:c r="P426" s="14" t="str">
        <x:v>10.1177/00811750261484940</x:v>
      </x:c>
      <x:c r="Q426" s="14" t="str"/>
      <x:c r="R426" s="17"/>
      <x:c r="S426" s="14" t="str"/>
      <x:c r="T426" s="14" t="str"/>
      <x:c r="U426" s="19" t="n">
        <x:v>46303</x:v>
      </x:c>
    </x:row>
    <x:row r="427" ht="68" customHeight="1">
      <x:c r="A427" s="14" t="str">
        <x:v>D-C87DE2CE</x:v>
      </x:c>
      <x:c r="B427" s="14" t="str">
        <x:v>需人工获取</x:v>
      </x:c>
      <x:c r="C427" s="14" t="str">
        <x:v>Cherry picking with synthetic controls</x:v>
      </x:c>
      <x:c r="D427" s="14" t="str">
        <x:v>英文</x:v>
      </x:c>
      <x:c r="E427" s="15" t="str">
        <x:v>未处理</x:v>
      </x:c>
      <x:c r="F427" s="15" t="str"/>
      <x:c r="G427" s="16" t="str">
        <x:v>https://doi.org/10.1002/pam.22206</x:v>
      </x:c>
      <x:c r="H427" s="14" t="str">
        <x:v>G09</x:v>
      </x:c>
      <x:c r="I427" s="14" t="str">
        <x:v>Ferman, B., Pinto, C., &amp; Possebom, V.</x:v>
      </x:c>
      <x:c r="J427" s="18" t="n">
        <x:v>2020</x:v>
      </x:c>
      <x:c r="K427" s="14" t="str">
        <x:v>研究文献</x:v>
      </x:c>
      <x:c r="L427" s="14" t="str">
        <x:v>选读</x:v>
      </x:c>
      <x:c r="M427" s="14" t="str">
        <x:v>未取得全文；页面响应不能证明全文权限。</x:v>
      </x:c>
      <x:c r="N427" s="14" t="str">
        <x:v>从 DOI 或出版社页查看全文；也可使用学校图书馆或作者公开版本。</x:v>
      </x:c>
      <x:c r="O427" s="14" t="str">
        <x:v>**设定选择的自由度很大**：换一组预测变量结论可能反转</x:v>
      </x:c>
      <x:c r="P427" s="14" t="str">
        <x:v>10.1002/pam.22206</x:v>
      </x:c>
      <x:c r="Q427" s="14" t="str"/>
      <x:c r="R427" s="17"/>
      <x:c r="S427" s="14" t="str"/>
      <x:c r="T427" s="14" t="str"/>
      <x:c r="U427" s="19" t="n">
        <x:v>46303</x:v>
      </x:c>
    </x:row>
    <x:row r="428" ht="68" customHeight="1">
      <x:c r="A428" s="14" t="str">
        <x:v>D-5844656E</x:v>
      </x:c>
      <x:c r="B428" s="14" t="str">
        <x:v>需人工获取</x:v>
      </x:c>
      <x:c r="C428" s="14" t="str">
        <x:v>Generic machine learning inference on heterogeneous treatment effects in randomized experiments</x:v>
      </x:c>
      <x:c r="D428" s="14" t="str">
        <x:v>英文</x:v>
      </x:c>
      <x:c r="E428" s="15" t="str">
        <x:v>未处理</x:v>
      </x:c>
      <x:c r="F428" s="15" t="str"/>
      <x:c r="G428" s="16" t="str">
        <x:v>https://doi.org/10.1920/wp.cem.2017.6117</x:v>
      </x:c>
      <x:c r="H428" s="14" t="str">
        <x:v>G11</x:v>
      </x:c>
      <x:c r="I428" s="14" t="str">
        <x:v>Chernozhukov, V., Demirer, M., Duflo, E., &amp; Fernández-Val, I.</x:v>
      </x:c>
      <x:c r="J428" s="18" t="n">
        <x:v>2018</x:v>
      </x:c>
      <x:c r="K428" s="14" t="str">
        <x:v>研究文献</x:v>
      </x:c>
      <x:c r="L428" s="14" t="str">
        <x:v>选读</x:v>
      </x:c>
      <x:c r="M428" s="14" t="str">
        <x:v>未取得全文；页面响应不能证明全文权限。</x:v>
      </x:c>
      <x:c r="N428" s="14" t="str">
        <x:v>从 DOI 或出版社页查看全文；也可使用学校图书馆或作者公开版本。</x:v>
      </x:c>
      <x:c r="O428" s="14" t="str">
        <x:v>GATES 与 CLAN 的来源，处理「异质性发现的推断」问题</x:v>
      </x:c>
      <x:c r="P428" s="14" t="str">
        <x:v>10.1920/wp.cem.2017.6117</x:v>
      </x:c>
      <x:c r="Q428" s="14" t="str"/>
      <x:c r="R428" s="17"/>
      <x:c r="S428" s="14" t="str"/>
      <x:c r="T428" s="14" t="str"/>
      <x:c r="U428" s="19" t="n">
        <x:v>46303</x:v>
      </x:c>
    </x:row>
    <x:row r="429" ht="68" customHeight="1">
      <x:c r="A429" s="14" t="str">
        <x:v>D-D0193297</x:v>
      </x:c>
      <x:c r="B429" s="14" t="str">
        <x:v>需人工获取</x:v>
      </x:c>
      <x:c r="C429" s="14" t="str">
        <x:v>Using causal forests to predict treatment heterogeneity: An application to summer jobs</x:v>
      </x:c>
      <x:c r="D429" s="14" t="str">
        <x:v>英文</x:v>
      </x:c>
      <x:c r="E429" s="15" t="str">
        <x:v>未处理</x:v>
      </x:c>
      <x:c r="F429" s="15" t="str"/>
      <x:c r="G429" s="16" t="str">
        <x:v>https://doi.org/10.1257/aer.p20171000</x:v>
      </x:c>
      <x:c r="H429" s="14" t="str">
        <x:v>G11</x:v>
      </x:c>
      <x:c r="I429" s="14" t="str">
        <x:v>Davis, J. M. V., &amp; Heller, S. B.</x:v>
      </x:c>
      <x:c r="J429" s="18" t="n">
        <x:v>2017</x:v>
      </x:c>
      <x:c r="K429" s="14" t="str">
        <x:v>研究文献</x:v>
      </x:c>
      <x:c r="L429" s="14" t="str">
        <x:v>选读</x:v>
      </x:c>
      <x:c r="M429" s="14" t="str">
        <x:v>未取得全文；页面响应不能证明全文权限。</x:v>
      </x:c>
      <x:c r="N429" s="14" t="str">
        <x:v>从 DOI 或出版社页查看全文；也可使用学校图书馆或作者公开版本。</x:v>
      </x:c>
      <x:c r="O429" s="14" t="str">
        <x:v>在两个暑期就业随机试验中用留出样本检验异质效应预测，既展示用途也公开方法在政策靶向中的局限</x:v>
      </x:c>
      <x:c r="P429" s="14" t="str">
        <x:v>10.1257/aer.p20171000</x:v>
      </x:c>
      <x:c r="Q429" s="14" t="str"/>
      <x:c r="R429" s="17"/>
      <x:c r="S429" s="14" t="str"/>
      <x:c r="T429" s="14" t="str"/>
      <x:c r="U429" s="19" t="n">
        <x:v>46303</x:v>
      </x:c>
    </x:row>
    <x:row r="430" ht="68" customHeight="1">
      <x:c r="A430" s="14" t="str">
        <x:v>D-CC7FFC23</x:v>
      </x:c>
      <x:c r="B430" s="14" t="str">
        <x:v>需人工获取</x:v>
      </x:c>
      <x:c r="C430" s="14" t="str">
        <x:v>A More Credible Approach to Parallel Trends</x:v>
      </x:c>
      <x:c r="D430" s="14" t="str">
        <x:v>英文</x:v>
      </x:c>
      <x:c r="E430" s="15" t="str">
        <x:v>未处理</x:v>
      </x:c>
      <x:c r="F430" s="15" t="str"/>
      <x:c r="G430" s="16" t="str">
        <x:v>https://doi.org/10.1093/restud/rdad018</x:v>
      </x:c>
      <x:c r="H430" s="14" t="str">
        <x:v>G12</x:v>
      </x:c>
      <x:c r="I430" s="14" t="str">
        <x:v>Rambachan; Roth</x:v>
      </x:c>
      <x:c r="J430" s="18" t="n">
        <x:v>2023</x:v>
      </x:c>
      <x:c r="K430" s="14" t="str">
        <x:v>文献</x:v>
      </x:c>
      <x:c r="L430" s="14" t="str">
        <x:v>选读</x:v>
      </x:c>
      <x:c r="M430" s="14" t="str">
        <x:v>未取得全文；页面响应不能证明全文权限。</x:v>
      </x:c>
      <x:c r="N430" s="14" t="str">
        <x:v>从 DOI 或出版社页查看全文；也可使用学校图书馆或作者公开版本。</x:v>
      </x:c>
      <x:c r="O430" s="14" t="str">
        <x:v>把平行趋势偏离纳入敏感性分析。</x:v>
      </x:c>
      <x:c r="P430" s="14" t="str">
        <x:v>10.1093/restud/rdad018</x:v>
      </x:c>
      <x:c r="Q430" s="14" t="str"/>
      <x:c r="R430" s="17"/>
      <x:c r="S430" s="14" t="str"/>
      <x:c r="T430" s="14" t="str"/>
      <x:c r="U430" s="19" t="n">
        <x:v>46303</x:v>
      </x:c>
    </x:row>
    <x:row r="431" ht="68" customHeight="1">
      <x:c r="A431" s="14" t="str">
        <x:v>D-AFF7FE97</x:v>
      </x:c>
      <x:c r="B431" s="14" t="str">
        <x:v>需人工获取</x:v>
      </x:c>
      <x:c r="C431" s="14" t="str">
        <x:v>Limitations and misinterpretations of E-values for sensitivity analyses of observational studies</x:v>
      </x:c>
      <x:c r="D431" s="14" t="str">
        <x:v>英文</x:v>
      </x:c>
      <x:c r="E431" s="15" t="str">
        <x:v>未处理</x:v>
      </x:c>
      <x:c r="F431" s="15" t="str"/>
      <x:c r="G431" s="16" t="str">
        <x:v>https://doi.org/10.7326/m18-2159</x:v>
      </x:c>
      <x:c r="H431" s="14" t="str">
        <x:v>G12</x:v>
      </x:c>
      <x:c r="I431" s="14" t="str">
        <x:v>Ioannidis, J. P. A., Tan, Y. J., &amp; Blum, M. R.</x:v>
      </x:c>
      <x:c r="J431" s="18" t="n">
        <x:v>2019</x:v>
      </x:c>
      <x:c r="K431" s="14" t="str">
        <x:v>研究文献</x:v>
      </x:c>
      <x:c r="L431" s="14" t="str">
        <x:v>选读</x:v>
      </x:c>
      <x:c r="M431" s="14" t="str">
        <x:v>未取得全文；页面响应不能证明全文权限。</x:v>
      </x:c>
      <x:c r="N431" s="14" t="str">
        <x:v>从 DOI 或出版社页查看全文；也可使用学校图书馆或作者公开版本。</x:v>
      </x:c>
      <x:c r="O431" s="14" t="str">
        <x:v>**对 E-value 的批评**：它容易被当成「结论稳健」的通行证。和原始文献对读</x:v>
      </x:c>
      <x:c r="P431" s="14" t="str">
        <x:v>10.7326/m18-2159</x:v>
      </x:c>
      <x:c r="Q431" s="14" t="str"/>
      <x:c r="R431" s="17"/>
      <x:c r="S431" s="14" t="str"/>
      <x:c r="T431" s="14" t="str"/>
      <x:c r="U431" s="19" t="n">
        <x:v>46303</x:v>
      </x:c>
    </x:row>
    <x:row r="432" ht="68" customHeight="1">
      <x:c r="A432" s="14" t="str">
        <x:v>D-911655B8</x:v>
      </x:c>
      <x:c r="B432" s="14" t="str">
        <x:v>需人工获取</x:v>
      </x:c>
      <x:c r="C432" s="14" t="str">
        <x:v>Double machine learning-based programme evaluation under unconfoundedness</x:v>
      </x:c>
      <x:c r="D432" s="14" t="str">
        <x:v>英文</x:v>
      </x:c>
      <x:c r="E432" s="15" t="str">
        <x:v>未处理</x:v>
      </x:c>
      <x:c r="F432" s="15" t="str"/>
      <x:c r="G432" s="16" t="str">
        <x:v>https://doi.org/10.1093/ectj/utac015</x:v>
      </x:c>
      <x:c r="H432" s="14" t="str">
        <x:v>G13</x:v>
      </x:c>
      <x:c r="I432" s="14" t="str">
        <x:v>Knaus, M. C.</x:v>
      </x:c>
      <x:c r="J432" s="18" t="n">
        <x:v>2022</x:v>
      </x:c>
      <x:c r="K432" s="14" t="str">
        <x:v>研究文献</x:v>
      </x:c>
      <x:c r="L432" s="14" t="str">
        <x:v>选读</x:v>
      </x:c>
      <x:c r="M432" s="14" t="str">
        <x:v>未取得全文；页面响应不能证明全文权限。</x:v>
      </x:c>
      <x:c r="N432" s="14" t="str">
        <x:v>从 DOI 或出版社页查看全文；也可使用学校图书馆或作者公开版本。</x:v>
      </x:c>
      <x:c r="O432" s="14" t="str">
        <x:v>**DML 在真实政策评估中的表现**与实践建议</x:v>
      </x:c>
      <x:c r="P432" s="14" t="str">
        <x:v>10.1093/ectj/utac015</x:v>
      </x:c>
      <x:c r="Q432" s="14" t="str"/>
      <x:c r="R432" s="17"/>
      <x:c r="S432" s="14" t="str"/>
      <x:c r="T432" s="14" t="str"/>
      <x:c r="U432" s="19" t="n">
        <x:v>46303</x:v>
      </x:c>
    </x:row>
    <x:row r="433" ht="68" customHeight="1">
      <x:c r="A433" s="14" t="str">
        <x:v>D-83DFE9D3</x:v>
      </x:c>
      <x:c r="B433" s="14" t="str">
        <x:v>需人工获取</x:v>
      </x:c>
      <x:c r="C433" s="14" t="str">
        <x:v>Introduction to the foundations of causal discovery</x:v>
      </x:c>
      <x:c r="D433" s="14" t="str">
        <x:v>英文</x:v>
      </x:c>
      <x:c r="E433" s="15" t="str">
        <x:v>未处理</x:v>
      </x:c>
      <x:c r="F433" s="15" t="str"/>
      <x:c r="G433" s="16" t="str">
        <x:v>https://doi.org/10.1007/s41060-016-0038-6</x:v>
      </x:c>
      <x:c r="H433" s="14" t="str">
        <x:v>G14</x:v>
      </x:c>
      <x:c r="I433" s="14" t="str">
        <x:v>Eberhardt, F.</x:v>
      </x:c>
      <x:c r="J433" s="18" t="n">
        <x:v>2017</x:v>
      </x:c>
      <x:c r="K433" s="14" t="str">
        <x:v>研究文献</x:v>
      </x:c>
      <x:c r="L433" s="14" t="str">
        <x:v>选读</x:v>
      </x:c>
      <x:c r="M433" s="14" t="str">
        <x:v>未取得全文；页面响应不能证明全文权限。</x:v>
      </x:c>
      <x:c r="N433" s="14" t="str">
        <x:v>从 DOI 或出版社页查看全文；也可使用学校图书馆或作者公开版本。</x:v>
      </x:c>
      <x:c r="O433" s="14" t="str">
        <x:v>因果发现的假设与边界的清晰梳理</x:v>
      </x:c>
      <x:c r="P433" s="14" t="str">
        <x:v>10.1007/s41060-016-0038-6</x:v>
      </x:c>
      <x:c r="Q433" s="14" t="str"/>
      <x:c r="R433" s="17"/>
      <x:c r="S433" s="14" t="str"/>
      <x:c r="T433" s="14" t="str"/>
      <x:c r="U433" s="19" t="n">
        <x:v>46303</x:v>
      </x:c>
    </x:row>
    <x:row r="434" ht="68" customHeight="1">
      <x:c r="A434" s="14" t="str">
        <x:v>D-08791292</x:v>
      </x:c>
      <x:c r="B434" s="14" t="str">
        <x:v>需人工获取</x:v>
      </x:c>
      <x:c r="C434" s="14" t="str">
        <x:v>Target trial emulation: Applying principles of randomised trials to observational studies</x:v>
      </x:c>
      <x:c r="D434" s="14" t="str">
        <x:v>英文</x:v>
      </x:c>
      <x:c r="E434" s="15" t="str">
        <x:v>未处理</x:v>
      </x:c>
      <x:c r="F434" s="15" t="str"/>
      <x:c r="G434" s="16" t="str">
        <x:v>https://doi.org/10.1136/bmj-2022-071108</x:v>
      </x:c>
      <x:c r="H434" s="14" t="str">
        <x:v>G15</x:v>
      </x:c>
      <x:c r="I434" s="14" t="str">
        <x:v>Matthews, A. A., Danaei, G., Islam, N., &amp; Kurth, T.</x:v>
      </x:c>
      <x:c r="J434" s="18" t="n">
        <x:v>2022</x:v>
      </x:c>
      <x:c r="K434" s="14" t="str">
        <x:v>研究文献</x:v>
      </x:c>
      <x:c r="L434" s="14" t="str">
        <x:v>选读</x:v>
      </x:c>
      <x:c r="M434" s="14" t="str">
        <x:v>未取得全文；页面响应不能证明全文权限。</x:v>
      </x:c>
      <x:c r="N434" s="14" t="str">
        <x:v>从 DOI 或出版社页查看全文；也可使用学校图书馆或作者公开版本。</x:v>
      </x:c>
      <x:c r="O434" s="14" t="str">
        <x:v>操作清单与常见陷阱</x:v>
      </x:c>
      <x:c r="P434" s="14" t="str">
        <x:v>10.1136/bmj-2022-071108</x:v>
      </x:c>
      <x:c r="Q434" s="14" t="str"/>
      <x:c r="R434" s="17"/>
      <x:c r="S434" s="14" t="str"/>
      <x:c r="T434" s="14" t="str"/>
      <x:c r="U434" s="19" t="n">
        <x:v>46303</x:v>
      </x:c>
    </x:row>
    <x:row r="435" ht="68" customHeight="1">
      <x:c r="A435" s="14" t="str">
        <x:v>D-24E73726</x:v>
      </x:c>
      <x:c r="B435" s="14" t="str">
        <x:v>需人工获取</x:v>
      </x:c>
      <x:c r="C435" s="14" t="str">
        <x:v>The hazards of hazard ratios</x:v>
      </x:c>
      <x:c r="D435" s="14" t="str">
        <x:v>英文</x:v>
      </x:c>
      <x:c r="E435" s="15" t="str">
        <x:v>未处理</x:v>
      </x:c>
      <x:c r="F435" s="15" t="str"/>
      <x:c r="G435" s="16" t="str">
        <x:v>https://doi.org/10.1097/ede.0b013e3181c1ea43</x:v>
      </x:c>
      <x:c r="H435" s="14" t="str">
        <x:v>H01</x:v>
      </x:c>
      <x:c r="I435" s="14" t="str">
        <x:v>Hernán, M. A.</x:v>
      </x:c>
      <x:c r="J435" s="18" t="n">
        <x:v>2010</x:v>
      </x:c>
      <x:c r="K435" s="14" t="str">
        <x:v>研究文献</x:v>
      </x:c>
      <x:c r="L435" s="14" t="str">
        <x:v>选读</x:v>
      </x:c>
      <x:c r="M435" s="14" t="str">
        <x:v>未取得全文；页面响应不能证明全文权限。</x:v>
      </x:c>
      <x:c r="N435" s="14" t="str">
        <x:v>从 DOI 或出版社页查看全文；也可使用学校图书馆或作者公开版本。</x:v>
      </x:c>
      <x:c r="O435" s="14" t="str">
        <x:v>**效应随时间变化时 HR 是一个难以解释的加权平均**。两页纸，必读</x:v>
      </x:c>
      <x:c r="P435" s="14" t="str">
        <x:v>10.1097/ede.0b013e3181c1ea43</x:v>
      </x:c>
      <x:c r="Q435" s="14" t="str"/>
      <x:c r="R435" s="17"/>
      <x:c r="S435" s="14" t="str"/>
      <x:c r="T435" s="14" t="str"/>
      <x:c r="U435" s="19" t="n">
        <x:v>46303</x:v>
      </x:c>
    </x:row>
    <x:row r="436" ht="68" customHeight="1">
      <x:c r="A436" s="14" t="str">
        <x:v>D-29E48347</x:v>
      </x:c>
      <x:c r="B436" s="14" t="str">
        <x:v>需人工获取</x:v>
      </x:c>
      <x:c r="C436" s="14" t="str">
        <x:v>Introduction to the analysis of survival data in the presence of competing risks</x:v>
      </x:c>
      <x:c r="D436" s="14" t="str">
        <x:v>英文</x:v>
      </x:c>
      <x:c r="E436" s="15" t="str">
        <x:v>未处理</x:v>
      </x:c>
      <x:c r="F436" s="15" t="str"/>
      <x:c r="G436" s="16" t="str">
        <x:v>https://doi.org/10.1161/circulationaha.115.017719</x:v>
      </x:c>
      <x:c r="H436" s="14" t="str">
        <x:v>H02</x:v>
      </x:c>
      <x:c r="I436" s="14" t="str">
        <x:v>Austin, P. C., Lee, D. S., &amp; Fine, J. P.</x:v>
      </x:c>
      <x:c r="J436" s="18" t="n">
        <x:v>2016</x:v>
      </x:c>
      <x:c r="K436" s="14" t="str">
        <x:v>研究文献</x:v>
      </x:c>
      <x:c r="L436" s="14" t="str">
        <x:v>选读</x:v>
      </x:c>
      <x:c r="M436" s="14" t="str">
        <x:v>未取得全文；页面响应不能证明全文权限。</x:v>
      </x:c>
      <x:c r="N436" s="14" t="str">
        <x:v>从 DOI 或出版社页查看全文；也可使用学校图书馆或作者公开版本。</x:v>
      </x:c>
      <x:c r="O436" s="14" t="str">
        <x:v>**忽略竞争风险会怎样**，以及两类模型分别回答什么问题</x:v>
      </x:c>
      <x:c r="P436" s="14" t="str">
        <x:v>10.1161/circulationaha.115.017719</x:v>
      </x:c>
      <x:c r="Q436" s="14" t="str"/>
      <x:c r="R436" s="17"/>
      <x:c r="S436" s="14" t="str"/>
      <x:c r="T436" s="14" t="str"/>
      <x:c r="U436" s="19" t="n">
        <x:v>46303</x:v>
      </x:c>
    </x:row>
    <x:row r="437" ht="68" customHeight="1">
      <x:c r="A437" s="14" t="str">
        <x:v>D-F1688EB9</x:v>
      </x:c>
      <x:c r="B437" s="14" t="str">
        <x:v>需人工获取</x:v>
      </x:c>
      <x:c r="C437" s="14" t="str">
        <x:v>Time series analysis</x:v>
      </x:c>
      <x:c r="D437" s="14" t="str">
        <x:v>英文</x:v>
      </x:c>
      <x:c r="E437" s="15" t="str">
        <x:v>未处理</x:v>
      </x:c>
      <x:c r="F437" s="15" t="str"/>
      <x:c r="G437" s="16" t="str">
        <x:v>https://doi.org/10.1002/0471264385.wei0223</x:v>
      </x:c>
      <x:c r="H437" s="14" t="str">
        <x:v>H03</x:v>
      </x:c>
      <x:c r="I437" s="14" t="str">
        <x:v>Velicer, W. F., &amp; Fava, J. L.</x:v>
      </x:c>
      <x:c r="J437" s="18" t="n">
        <x:v>2003</x:v>
      </x:c>
      <x:c r="K437" s="14" t="str">
        <x:v>研究文献</x:v>
      </x:c>
      <x:c r="L437" s="14" t="str">
        <x:v>选读</x:v>
      </x:c>
      <x:c r="M437" s="14" t="str">
        <x:v>未取得全文；页面响应不能证明全文权限。</x:v>
      </x:c>
      <x:c r="N437" s="14" t="str">
        <x:v>从 DOI 或出版社页查看全文；也可使用学校图书馆或作者公开版本。</x:v>
      </x:c>
      <x:c r="O437" s="14" t="str">
        <x:v>心理学时间序列的特点：序列短、噪声大，与经济学传统不同</x:v>
      </x:c>
      <x:c r="P437" s="14" t="str">
        <x:v>10.1002/0471264385.wei0223</x:v>
      </x:c>
      <x:c r="Q437" s="14" t="str"/>
      <x:c r="R437" s="17"/>
      <x:c r="S437" s="14" t="str"/>
      <x:c r="T437" s="14" t="str"/>
      <x:c r="U437" s="19" t="n">
        <x:v>46303</x:v>
      </x:c>
    </x:row>
    <x:row r="438" ht="68" customHeight="1">
      <x:c r="A438" s="14" t="str">
        <x:v>D-53E1FED3</x:v>
      </x:c>
      <x:c r="B438" s="14" t="str">
        <x:v>需人工获取</x:v>
      </x:c>
      <x:c r="C438" s="14" t="str">
        <x:v>Modeling nonstationary emotion dynamics in dyads using a time-varying vector-autoregressive model</x:v>
      </x:c>
      <x:c r="D438" s="14" t="str">
        <x:v>英文</x:v>
      </x:c>
      <x:c r="E438" s="15" t="str">
        <x:v>未处理</x:v>
      </x:c>
      <x:c r="F438" s="15" t="str"/>
      <x:c r="G438" s="16" t="str">
        <x:v>https://doi.org/10.1080/00273171.2018.1439722</x:v>
      </x:c>
      <x:c r="H438" s="14" t="str">
        <x:v>H04</x:v>
      </x:c>
      <x:c r="I438" s="14" t="str">
        <x:v>Bringmann, L. F., Ferrer, E., Hamaker, E. L., Borsboom, D., &amp; Tuerlinckx, F.</x:v>
      </x:c>
      <x:c r="J438" s="18" t="n">
        <x:v>2018</x:v>
      </x:c>
      <x:c r="K438" s="14" t="str">
        <x:v>研究文献</x:v>
      </x:c>
      <x:c r="L438" s="14" t="str">
        <x:v>选读</x:v>
      </x:c>
      <x:c r="M438" s="14" t="str">
        <x:v>未取得全文；页面响应不能证明全文权限。</x:v>
      </x:c>
      <x:c r="N438" s="14" t="str">
        <x:v>从 DOI 或出版社页查看全文；也可使用学校图书馆或作者公开版本。</x:v>
      </x:c>
      <x:c r="O438" s="14" t="str">
        <x:v>情绪动态往往非平稳，固定参数 VAR 的假设可能不成立</x:v>
      </x:c>
      <x:c r="P438" s="14" t="str">
        <x:v>10.1080/00273171.2018.1439722</x:v>
      </x:c>
      <x:c r="Q438" s="14" t="str"/>
      <x:c r="R438" s="17"/>
      <x:c r="S438" s="14" t="str"/>
      <x:c r="T438" s="14" t="str"/>
      <x:c r="U438" s="19" t="n">
        <x:v>46303</x:v>
      </x:c>
    </x:row>
    <x:row r="439" ht="68" customHeight="1">
      <x:c r="A439" s="14" t="str">
        <x:v>D-7C530D93</x:v>
      </x:c>
      <x:c r="B439" s="14" t="str">
        <x:v>需人工获取</x:v>
      </x:c>
      <x:c r="C439" s="14" t="str">
        <x:v>Design characteristics and statistical methods used in interrupted time series studies</x:v>
      </x:c>
      <x:c r="D439" s="14" t="str">
        <x:v>英文</x:v>
      </x:c>
      <x:c r="E439" s="15" t="str">
        <x:v>未处理</x:v>
      </x:c>
      <x:c r="F439" s="15" t="str"/>
      <x:c r="G439" s="16" t="str">
        <x:v>https://doi.org/10.1016/j.jclinepi.2020.02.006</x:v>
      </x:c>
      <x:c r="H439" s="14" t="str">
        <x:v>H05</x:v>
      </x:c>
      <x:c r="I439" s="14" t="str">
        <x:v>Turner, S. L., Karahalios, A., Forbes, A. B., et al.</x:v>
      </x:c>
      <x:c r="J439" s="18" t="n">
        <x:v>2020</x:v>
      </x:c>
      <x:c r="K439" s="14" t="str">
        <x:v>研究文献</x:v>
      </x:c>
      <x:c r="L439" s="14" t="str">
        <x:v>选读</x:v>
      </x:c>
      <x:c r="M439" s="14" t="str">
        <x:v>未取得全文；页面响应不能证明全文权限。</x:v>
      </x:c>
      <x:c r="N439" s="14" t="str">
        <x:v>从 DOI 或出版社页查看全文；也可使用学校图书馆或作者公开版本。</x:v>
      </x:c>
      <x:c r="O439" s="14" t="str">
        <x:v>**实际研究中的方法学缺陷调查**：大量研究忽略自相关与季节性</x:v>
      </x:c>
      <x:c r="P439" s="14" t="str">
        <x:v>10.1016/j.jclinepi.2020.02.006</x:v>
      </x:c>
      <x:c r="Q439" s="14" t="str"/>
      <x:c r="R439" s="17"/>
      <x:c r="S439" s="14" t="str"/>
      <x:c r="T439" s="14" t="str"/>
      <x:c r="U439" s="19" t="n">
        <x:v>46303</x:v>
      </x:c>
    </x:row>
    <x:row r="440" ht="68" customHeight="1">
      <x:c r="A440" s="14" t="str">
        <x:v>D-61093D5E</x:v>
      </x:c>
      <x:c r="B440" s="14" t="str">
        <x:v>需人工获取</x:v>
      </x:c>
      <x:c r="C440" s="14" t="str">
        <x:v>The effects of sampling frequency and questionnaire length on perceived burden, compliance, and careless responding in experience sampling data</x:v>
      </x:c>
      <x:c r="D440" s="14" t="str">
        <x:v>英文</x:v>
      </x:c>
      <x:c r="E440" s="15" t="str">
        <x:v>未处理</x:v>
      </x:c>
      <x:c r="F440" s="15" t="str"/>
      <x:c r="G440" s="16" t="str">
        <x:v>https://doi.org/10.1177/1073191120957102</x:v>
      </x:c>
      <x:c r="H440" s="14" t="str">
        <x:v>H06</x:v>
      </x:c>
      <x:c r="I440" s="14" t="str">
        <x:v>Eisele, G., Vachon, H., Lafit, G., et al.</x:v>
      </x:c>
      <x:c r="J440" s="18" t="n">
        <x:v>2022</x:v>
      </x:c>
      <x:c r="K440" s="14" t="str">
        <x:v>研究文献</x:v>
      </x:c>
      <x:c r="L440" s="14" t="str">
        <x:v>选读</x:v>
      </x:c>
      <x:c r="M440" s="14" t="str">
        <x:v>未取得全文；页面响应不能证明全文权限。</x:v>
      </x:c>
      <x:c r="N440" s="14" t="str">
        <x:v>从 DOI 或出版社页查看全文；也可使用学校图书馆或作者公开版本。</x:v>
      </x:c>
      <x:c r="O440" s="14" t="str">
        <x:v>**采样频率与问卷长度对依从率的实证影响**——设计决策的证据基础</x:v>
      </x:c>
      <x:c r="P440" s="14" t="str">
        <x:v>10.1177/1073191120957102</x:v>
      </x:c>
      <x:c r="Q440" s="14" t="str"/>
      <x:c r="R440" s="17"/>
      <x:c r="S440" s="14" t="str"/>
      <x:c r="T440" s="14" t="str"/>
      <x:c r="U440" s="19" t="n">
        <x:v>46303</x:v>
      </x:c>
    </x:row>
    <x:row r="441" ht="68" customHeight="1">
      <x:c r="A441" s="14" t="str">
        <x:v>D-F498C320</x:v>
      </x:c>
      <x:c r="B441" s="14" t="str">
        <x:v>需人工获取</x:v>
      </x:c>
      <x:c r="C441" s="14" t="str">
        <x:v>Drawing conclusions from cross-lagged relationships: Re-considering the role of the time-interval</x:v>
      </x:c>
      <x:c r="D441" s="14" t="str">
        <x:v>英文</x:v>
      </x:c>
      <x:c r="E441" s="15" t="str">
        <x:v>未处理</x:v>
      </x:c>
      <x:c r="F441" s="15" t="str"/>
      <x:c r="G441" s="16" t="str">
        <x:v>https://doi.org/10.1080/10705511.2018.1431046</x:v>
      </x:c>
      <x:c r="H441" s="14" t="str">
        <x:v>H07</x:v>
      </x:c>
      <x:c r="I441" s="14" t="str">
        <x:v>Kuiper, R. M., &amp; Ryan, O.</x:v>
      </x:c>
      <x:c r="J441" s="18" t="n">
        <x:v>2018</x:v>
      </x:c>
      <x:c r="K441" s="14" t="str">
        <x:v>研究文献</x:v>
      </x:c>
      <x:c r="L441" s="14" t="str">
        <x:v>选读</x:v>
      </x:c>
      <x:c r="M441" s="14" t="str">
        <x:v>未取得全文；页面响应不能证明全文权限。</x:v>
      </x:c>
      <x:c r="N441" s="14" t="str">
        <x:v>从 DOI 或出版社页查看全文；也可使用学校图书馆或作者公开版本。</x:v>
      </x:c>
      <x:c r="O441" s="14" t="str">
        <x:v>**滞后长度决定结论**：同一过程在不同采样间隔下可得到不同甚至反向的交叉滞后</x:v>
      </x:c>
      <x:c r="P441" s="14" t="str">
        <x:v>10.1080/10705511.2018.1431046</x:v>
      </x:c>
      <x:c r="Q441" s="14" t="str"/>
      <x:c r="R441" s="17"/>
      <x:c r="S441" s="14" t="str"/>
      <x:c r="T441" s="14" t="str"/>
      <x:c r="U441" s="19" t="n">
        <x:v>46303</x:v>
      </x:c>
    </x:row>
    <x:row r="442" ht="68" customHeight="1">
      <x:c r="A442" s="14" t="str">
        <x:v>D-703B06CE</x:v>
      </x:c>
      <x:c r="B442" s="14" t="str">
        <x:v>需人工获取</x:v>
      </x:c>
      <x:c r="C442" s="14" t="str">
        <x:v>A continuous-time approach to intensive longitudinal data: What, why and how?</x:v>
      </x:c>
      <x:c r="D442" s="14" t="str">
        <x:v>英文</x:v>
      </x:c>
      <x:c r="E442" s="15" t="str">
        <x:v>未处理</x:v>
      </x:c>
      <x:c r="F442" s="15" t="str"/>
      <x:c r="G442" s="16" t="str">
        <x:v>https://doi.org/10.1007/978-3-319-77219-6_2</x:v>
      </x:c>
      <x:c r="H442" s="14" t="str">
        <x:v>H08</x:v>
      </x:c>
      <x:c r="I442" s="14" t="str">
        <x:v>Ryan, O., Kuiper, R. M., &amp; Hamaker, E. L.</x:v>
      </x:c>
      <x:c r="J442" s="18" t="n">
        <x:v>2018</x:v>
      </x:c>
      <x:c r="K442" s="14" t="str">
        <x:v>研究文献</x:v>
      </x:c>
      <x:c r="L442" s="14" t="str">
        <x:v>选读</x:v>
      </x:c>
      <x:c r="M442" s="14" t="str">
        <x:v>未取得全文；页面响应不能证明全文权限。</x:v>
      </x:c>
      <x:c r="N442" s="14" t="str">
        <x:v>从 DOI 或出版社页查看全文；也可使用学校图书馆或作者公开版本。</x:v>
      </x:c>
      <x:c r="O442" s="14" t="str">
        <x:v>连续时间视角的概念澄清与适用边界</x:v>
      </x:c>
      <x:c r="P442" s="14" t="str">
        <x:v>10.1007/978-3-319-77219-6_2</x:v>
      </x:c>
      <x:c r="Q442" s="14" t="str"/>
      <x:c r="R442" s="17"/>
      <x:c r="S442" s="14" t="str"/>
      <x:c r="T442" s="14" t="str"/>
      <x:c r="U442" s="19" t="n">
        <x:v>46303</x:v>
      </x:c>
    </x:row>
    <x:row r="443" ht="68" customHeight="1">
      <x:c r="A443" s="14" t="str">
        <x:v>D-E1FB38F4</x:v>
      </x:c>
      <x:c r="B443" s="14" t="str">
        <x:v>需人工获取</x:v>
      </x:c>
      <x:c r="C443" s="14" t="str">
        <x:v>But what have you done for us lately? Commentary on Abbott and Tsay</x:v>
      </x:c>
      <x:c r="D443" s="14" t="str">
        <x:v>英文</x:v>
      </x:c>
      <x:c r="E443" s="15" t="str">
        <x:v>未处理</x:v>
      </x:c>
      <x:c r="F443" s="15" t="str"/>
      <x:c r="G443" s="16" t="str">
        <x:v>https://doi.org/10.1177/0049124100029001002</x:v>
      </x:c>
      <x:c r="H443" s="14" t="str">
        <x:v>H09</x:v>
      </x:c>
      <x:c r="I443" s="14" t="str">
        <x:v>Levine, J. H.</x:v>
      </x:c>
      <x:c r="J443" s="18" t="n">
        <x:v>2000</x:v>
      </x:c>
      <x:c r="K443" s="14" t="str">
        <x:v>研究文献</x:v>
      </x:c>
      <x:c r="L443" s="14" t="str">
        <x:v>选读</x:v>
      </x:c>
      <x:c r="M443" s="14" t="str">
        <x:v>未取得全文；页面响应不能证明全文权限。</x:v>
      </x:c>
      <x:c r="N443" s="14" t="str">
        <x:v>从 DOI 或出版社页查看全文；也可使用学校图书馆或作者公开版本。</x:v>
      </x:c>
      <x:c r="O443" s="14" t="str">
        <x:v>**对最优匹配的经典批评**：成本设定缺乏理论依据，不同选择得到不同类型学</x:v>
      </x:c>
      <x:c r="P443" s="14" t="str">
        <x:v>10.1177/0049124100029001002</x:v>
      </x:c>
      <x:c r="Q443" s="14" t="str"/>
      <x:c r="R443" s="17"/>
      <x:c r="S443" s="14" t="str"/>
      <x:c r="T443" s="14" t="str"/>
      <x:c r="U443" s="19" t="n">
        <x:v>46303</x:v>
      </x:c>
    </x:row>
    <x:row r="444" ht="68" customHeight="1">
      <x:c r="A444" s="14" t="str">
        <x:v>D-8FD00FCC</x:v>
      </x:c>
      <x:c r="B444" s="14" t="str">
        <x:v>需人工获取</x:v>
      </x:c>
      <x:c r="C444" s="14" t="str">
        <x:v>Cluster-wise assessment of cluster stability</x:v>
      </x:c>
      <x:c r="D444" s="14" t="str">
        <x:v>英文</x:v>
      </x:c>
      <x:c r="E444" s="15" t="str">
        <x:v>未处理</x:v>
      </x:c>
      <x:c r="F444" s="15" t="str"/>
      <x:c r="G444" s="16" t="str">
        <x:v>https://doi.org/10.1016/j.csda.2006.11.025</x:v>
      </x:c>
      <x:c r="H444" s="14" t="str">
        <x:v>I01</x:v>
      </x:c>
      <x:c r="I444" s="14" t="str">
        <x:v>Hennig, C.</x:v>
      </x:c>
      <x:c r="J444" s="18" t="n">
        <x:v>2007</x:v>
      </x:c>
      <x:c r="K444" s="14" t="str">
        <x:v>研究文献</x:v>
      </x:c>
      <x:c r="L444" s="14" t="str">
        <x:v>选读</x:v>
      </x:c>
      <x:c r="M444" s="14" t="str">
        <x:v>未取得全文；页面响应不能证明全文权限。</x:v>
      </x:c>
      <x:c r="N444" s="14" t="str">
        <x:v>从 DOI 或出版社页查看全文；也可使用学校图书馆或作者公开版本。</x:v>
      </x:c>
      <x:c r="O444" s="14" t="str">
        <x:v>**clusterboot 的理论**：Jaccard 稳定性是判断簇是否真实的关键</x:v>
      </x:c>
      <x:c r="P444" s="14" t="str">
        <x:v>10.1016/j.csda.2006.11.025</x:v>
      </x:c>
      <x:c r="Q444" s="14" t="str"/>
      <x:c r="R444" s="17"/>
      <x:c r="S444" s="14" t="str"/>
      <x:c r="T444" s="14" t="str"/>
      <x:c r="U444" s="19" t="n">
        <x:v>46303</x:v>
      </x:c>
    </x:row>
    <x:row r="445" ht="68" customHeight="1">
      <x:c r="A445" s="14" t="str">
        <x:v>D-D11DE627</x:v>
      </x:c>
      <x:c r="B445" s="14" t="str">
        <x:v>需人工获取</x:v>
      </x:c>
      <x:c r="C445" s="14" t="str">
        <x:v>Evaluating mixture modeling for clustering: Recommendations and cautions</x:v>
      </x:c>
      <x:c r="D445" s="14" t="str">
        <x:v>英文</x:v>
      </x:c>
      <x:c r="E445" s="15" t="str">
        <x:v>未处理</x:v>
      </x:c>
      <x:c r="F445" s="15" t="str"/>
      <x:c r="G445" s="16" t="str">
        <x:v>https://doi.org/10.1037/a0022673</x:v>
      </x:c>
      <x:c r="H445" s="14" t="str">
        <x:v>I01</x:v>
      </x:c>
      <x:c r="I445" s="14" t="str">
        <x:v>Steinley, D., &amp; Brusco, M. J.</x:v>
      </x:c>
      <x:c r="J445" s="18" t="n">
        <x:v>2011</x:v>
      </x:c>
      <x:c r="K445" s="14" t="str">
        <x:v>研究文献</x:v>
      </x:c>
      <x:c r="L445" s="14" t="str">
        <x:v>选读</x:v>
      </x:c>
      <x:c r="M445" s="14" t="str">
        <x:v>未取得全文；页面响应不能证明全文权限。</x:v>
      </x:c>
      <x:c r="N445" s="14" t="str">
        <x:v>从 DOI 或出版社页查看全文；也可使用学校图书馆或作者公开版本。</x:v>
      </x:c>
      <x:c r="O445" s="14" t="str">
        <x:v>**K-means 与混合模型的比较**，以及聚类在心理学中的常见误用</x:v>
      </x:c>
      <x:c r="P445" s="14" t="str">
        <x:v>10.1037/a0022673</x:v>
      </x:c>
      <x:c r="Q445" s="14" t="str"/>
      <x:c r="R445" s="17"/>
      <x:c r="S445" s="14" t="str"/>
      <x:c r="T445" s="14" t="str"/>
      <x:c r="U445" s="19" t="n">
        <x:v>46303</x:v>
      </x:c>
    </x:row>
    <x:row r="446" ht="68" customHeight="1">
      <x:c r="A446" s="14" t="str">
        <x:v>D-C0406839</x:v>
      </x:c>
      <x:c r="B446" s="14" t="str">
        <x:v>需人工获取</x:v>
      </x:c>
      <x:c r="C446" s="14" t="str">
        <x:v>Common factor analysis versus principal component analysis: Differential bias in representing model parameters?</x:v>
      </x:c>
      <x:c r="D446" s="14" t="str">
        <x:v>英文</x:v>
      </x:c>
      <x:c r="E446" s="15" t="str">
        <x:v>未处理</x:v>
      </x:c>
      <x:c r="F446" s="15" t="str"/>
      <x:c r="G446" s="16" t="str">
        <x:v>https://doi.org/10.1207/s15327906mbr2803_1</x:v>
      </x:c>
      <x:c r="H446" s="14" t="str">
        <x:v>I02</x:v>
      </x:c>
      <x:c r="I446" s="14" t="str">
        <x:v>Widaman, K. F.</x:v>
      </x:c>
      <x:c r="J446" s="18" t="n">
        <x:v>1993</x:v>
      </x:c>
      <x:c r="K446" s="14" t="str">
        <x:v>研究文献</x:v>
      </x:c>
      <x:c r="L446" s="14" t="str">
        <x:v>选读</x:v>
      </x:c>
      <x:c r="M446" s="14" t="str">
        <x:v>未取得全文；页面响应不能证明全文权限。</x:v>
      </x:c>
      <x:c r="N446" s="14" t="str">
        <x:v>从 DOI 或出版社页查看全文；也可使用学校图书馆或作者公开版本。</x:v>
      </x:c>
      <x:c r="O446" s="14" t="str">
        <x:v>用模拟量化 PCA 当作因素分析时的偏差大小</x:v>
      </x:c>
      <x:c r="P446" s="14" t="str">
        <x:v>10.1207/s15327906mbr2803_1</x:v>
      </x:c>
      <x:c r="Q446" s="14" t="str"/>
      <x:c r="R446" s="17"/>
      <x:c r="S446" s="14" t="str"/>
      <x:c r="T446" s="14" t="str"/>
      <x:c r="U446" s="19" t="n">
        <x:v>46303</x:v>
      </x:c>
    </x:row>
    <x:row r="447" ht="68" customHeight="1">
      <x:c r="A447" s="14" t="str">
        <x:v>D-FA326254</x:v>
      </x:c>
      <x:c r="B447" s="14" t="str">
        <x:v>需人工获取</x:v>
      </x:c>
      <x:c r="C447" s="14" t="str">
        <x:v>How to use t-SNE effectively</x:v>
      </x:c>
      <x:c r="D447" s="14" t="str">
        <x:v>英文</x:v>
      </x:c>
      <x:c r="E447" s="15" t="str">
        <x:v>未处理</x:v>
      </x:c>
      <x:c r="F447" s="15" t="str"/>
      <x:c r="G447" s="16" t="str">
        <x:v>https://doi.org/10.23915/distill.00002</x:v>
      </x:c>
      <x:c r="H447" s="14" t="str">
        <x:v>I04</x:v>
      </x:c>
      <x:c r="I447" s="14" t="str">
        <x:v>Wattenberg, M., Viégas, F., &amp; Johnson, I.</x:v>
      </x:c>
      <x:c r="J447" s="18" t="n">
        <x:v>2016</x:v>
      </x:c>
      <x:c r="K447" s="14" t="str">
        <x:v>研究文献</x:v>
      </x:c>
      <x:c r="L447" s="14" t="str">
        <x:v>选读</x:v>
      </x:c>
      <x:c r="M447" s="14" t="str">
        <x:v>未取得全文；页面响应不能证明全文权限。</x:v>
      </x:c>
      <x:c r="N447" s="14" t="str">
        <x:v>从 DOI 或出版社页查看全文；也可使用学校图书馆或作者公开版本。</x:v>
      </x:c>
      <x:c r="O447" s="14" t="str">
        <x:v>**必读的交互式文章**：亲手调参数，看同一份数据能画出多少种不同的「簇」</x:v>
      </x:c>
      <x:c r="P447" s="14" t="str">
        <x:v>10.23915/distill.00002</x:v>
      </x:c>
      <x:c r="Q447" s="14" t="str"/>
      <x:c r="R447" s="17"/>
      <x:c r="S447" s="14" t="str"/>
      <x:c r="T447" s="14" t="str"/>
      <x:c r="U447" s="19" t="n">
        <x:v>46303</x:v>
      </x:c>
    </x:row>
    <x:row r="448" ht="68" customHeight="1">
      <x:c r="A448" s="14" t="str">
        <x:v>D-7197A826</x:v>
      </x:c>
      <x:c r="B448" s="14" t="str">
        <x:v>需人工获取</x:v>
      </x:c>
      <x:c r="C448" s="14" t="str">
        <x:v>Computational Basis of Large Language Models’ Decision Making in Social Simulation</x:v>
      </x:c>
      <x:c r="D448" s="14" t="str">
        <x:v>英文</x:v>
      </x:c>
      <x:c r="E448" s="15" t="str">
        <x:v>未处理</x:v>
      </x:c>
      <x:c r="F448" s="15" t="str"/>
      <x:c r="G448" s="16" t="str">
        <x:v>https://doi.org/10.1177/00811750261421220</x:v>
      </x:c>
      <x:c r="H448" s="14" t="str">
        <x:v>I06；J08；J13；J14；J15</x:v>
      </x:c>
      <x:c r="I448" s="14" t="str">
        <x:v>Ji Ma</x:v>
      </x:c>
      <x:c r="J448" s="18" t="n">
        <x:v>2026</x:v>
      </x:c>
      <x:c r="K448" s="14" t="str">
        <x:v>文献</x:v>
      </x:c>
      <x:c r="L448" s="14" t="str">
        <x:v>选读</x:v>
      </x:c>
      <x:c r="M448" s="14" t="str">
        <x:v>未取得全文；页面响应不能证明全文权限。</x:v>
      </x:c>
      <x:c r="N448" s="14" t="str">
        <x:v>从 DOI 或出版社页查看全文；也可使用学校图书馆或作者公开版本。</x:v>
      </x:c>
      <x:c r="O448" s="14" t="str">
        <x:v>讨论大模型社会模拟的计算基础。</x:v>
      </x:c>
      <x:c r="P448" s="14" t="str">
        <x:v>10.1177/00811750261421220</x:v>
      </x:c>
      <x:c r="Q448" s="14" t="str"/>
      <x:c r="R448" s="17"/>
      <x:c r="S448" s="14" t="str"/>
      <x:c r="T448" s="14" t="str"/>
      <x:c r="U448" s="19" t="n">
        <x:v>46303</x:v>
      </x:c>
    </x:row>
    <x:row r="449" ht="68" customHeight="1">
      <x:c r="A449" s="14" t="str">
        <x:v>D-DA99F0CE</x:v>
      </x:c>
      <x:c r="B449" s="14" t="str">
        <x:v>需人工获取</x:v>
      </x:c>
      <x:c r="C449" s="14" t="str">
        <x:v>A systematic review shows no performance benefit of machine learning over logistic regression for clinical prediction models</x:v>
      </x:c>
      <x:c r="D449" s="14" t="str">
        <x:v>英文</x:v>
      </x:c>
      <x:c r="E449" s="15" t="str">
        <x:v>未处理</x:v>
      </x:c>
      <x:c r="F449" s="15" t="str"/>
      <x:c r="G449" s="16" t="str">
        <x:v>https://doi.org/10.1016/j.jclinepi.2019.02.004</x:v>
      </x:c>
      <x:c r="H449" s="14" t="str">
        <x:v>J01</x:v>
      </x:c>
      <x:c r="I449" s="14" t="str">
        <x:v>Christodoulou, E., Ma, J., Collins, G. S., et al.</x:v>
      </x:c>
      <x:c r="J449" s="18" t="n">
        <x:v>2019</x:v>
      </x:c>
      <x:c r="K449" s="14" t="str">
        <x:v>研究文献</x:v>
      </x:c>
      <x:c r="L449" s="14" t="str">
        <x:v>选读</x:v>
      </x:c>
      <x:c r="M449" s="14" t="str">
        <x:v>未取得全文；页面响应不能证明全文权限。</x:v>
      </x:c>
      <x:c r="N449" s="14" t="str">
        <x:v>从 DOI 或出版社页查看全文；也可使用学校图书馆或作者公开版本。</x:v>
      </x:c>
      <x:c r="O449" s="14" t="str">
        <x:v>**在临床预测任务上机器学习并不优于逻辑回归**。做基准比较的理由</x:v>
      </x:c>
      <x:c r="P449" s="14" t="str">
        <x:v>10.1016/j.jclinepi.2019.02.004</x:v>
      </x:c>
      <x:c r="Q449" s="14" t="str"/>
      <x:c r="R449" s="17"/>
      <x:c r="S449" s="14" t="str"/>
      <x:c r="T449" s="14" t="str"/>
      <x:c r="U449" s="19" t="n">
        <x:v>46303</x:v>
      </x:c>
    </x:row>
    <x:row r="450" ht="68" customHeight="1">
      <x:c r="A450" s="14" t="str">
        <x:v>D-8B1DF7F9</x:v>
      </x:c>
      <x:c r="B450" s="14" t="str">
        <x:v>需人工获取</x:v>
      </x:c>
      <x:c r="C450" s="14" t="str">
        <x:v>Statistical Modeling: The Two Cultures (with comments and a rejoinder by the author)</x:v>
      </x:c>
      <x:c r="D450" s="14" t="str">
        <x:v>英文</x:v>
      </x:c>
      <x:c r="E450" s="15" t="str">
        <x:v>未处理</x:v>
      </x:c>
      <x:c r="F450" s="15" t="str"/>
      <x:c r="G450" s="16" t="str">
        <x:v>https://doi.org/10.1214/ss/1009213726</x:v>
      </x:c>
      <x:c r="H450" s="14" t="str">
        <x:v>J01</x:v>
      </x:c>
      <x:c r="I450" s="14" t="str">
        <x:v>Breiman</x:v>
      </x:c>
      <x:c r="J450" s="18" t="n">
        <x:v>2001</x:v>
      </x:c>
      <x:c r="K450" s="14" t="str">
        <x:v>文献</x:v>
      </x:c>
      <x:c r="L450" s="14" t="str">
        <x:v>选读</x:v>
      </x:c>
      <x:c r="M450" s="14" t="str">
        <x:v>未取得全文；页面响应不能证明全文权限。</x:v>
      </x:c>
      <x:c r="N450" s="14" t="str">
        <x:v>从 DOI 或出版社页查看全文；也可使用学校图书馆或作者公开版本。</x:v>
      </x:c>
      <x:c r="O450" s="14" t="str">
        <x:v>模型解释与算法预测两种实践传统；不把它们写成互相淘汰。</x:v>
      </x:c>
      <x:c r="P450" s="14" t="str">
        <x:v>10.1214/ss/1009213726</x:v>
      </x:c>
      <x:c r="Q450" s="14" t="str"/>
      <x:c r="R450" s="17"/>
      <x:c r="S450" s="14" t="str"/>
      <x:c r="T450" s="14" t="str"/>
      <x:c r="U450" s="19" t="n">
        <x:v>46303</x:v>
      </x:c>
    </x:row>
    <x:row r="451" ht="68" customHeight="1">
      <x:c r="A451" s="14" t="str">
        <x:v>D-FF0AB957</x:v>
      </x:c>
      <x:c r="B451" s="14" t="str">
        <x:v>需人工获取</x:v>
      </x:c>
      <x:c r="C451" s="14" t="str">
        <x:v>Cross-validation failure: Small sample sizes lead to large error bars</x:v>
      </x:c>
      <x:c r="D451" s="14" t="str">
        <x:v>英文</x:v>
      </x:c>
      <x:c r="E451" s="15" t="str">
        <x:v>未处理</x:v>
      </x:c>
      <x:c r="F451" s="15" t="str"/>
      <x:c r="G451" s="16" t="str">
        <x:v>https://doi.org/10.1016/j.neuroimage.2017.06.061</x:v>
      </x:c>
      <x:c r="H451" s="14" t="str">
        <x:v>J02</x:v>
      </x:c>
      <x:c r="I451" s="14" t="str">
        <x:v>Varoquaux, G.</x:v>
      </x:c>
      <x:c r="J451" s="18" t="n">
        <x:v>2018</x:v>
      </x:c>
      <x:c r="K451" s="14" t="str">
        <x:v>研究文献</x:v>
      </x:c>
      <x:c r="L451" s="14" t="str">
        <x:v>选读</x:v>
      </x:c>
      <x:c r="M451" s="14" t="str">
        <x:v>未取得全文；页面响应不能证明全文权限。</x:v>
      </x:c>
      <x:c r="N451" s="14" t="str">
        <x:v>从 DOI 或出版社页查看全文；也可使用学校图书馆或作者公开版本。</x:v>
      </x:c>
      <x:c r="O451" s="14" t="str">
        <x:v>**小样本下交叉验证的误差极大**，单次 CV 结果不可靠</x:v>
      </x:c>
      <x:c r="P451" s="14" t="str">
        <x:v>10.1016/j.neuroimage.2017.06.061</x:v>
      </x:c>
      <x:c r="Q451" s="14" t="str"/>
      <x:c r="R451" s="17"/>
      <x:c r="S451" s="14" t="str"/>
      <x:c r="T451" s="14" t="str"/>
      <x:c r="U451" s="19" t="n">
        <x:v>46303</x:v>
      </x:c>
    </x:row>
    <x:row r="452" ht="68" customHeight="1">
      <x:c r="A452" s="14" t="str">
        <x:v>D-BF776B6B</x:v>
      </x:c>
      <x:c r="B452" s="14" t="str">
        <x:v>需人工获取</x:v>
      </x:c>
      <x:c r="C452" s="14" t="str">
        <x:v>Leakage and the reproducibility crisis in machine-learning-based science</x:v>
      </x:c>
      <x:c r="D452" s="14" t="str">
        <x:v>英文</x:v>
      </x:c>
      <x:c r="E452" s="15" t="str">
        <x:v>未处理</x:v>
      </x:c>
      <x:c r="F452" s="15" t="str"/>
      <x:c r="G452" s="16" t="str">
        <x:v>https://doi.org/10.1016/j.patter.2023.100804</x:v>
      </x:c>
      <x:c r="H452" s="14" t="str">
        <x:v>J02</x:v>
      </x:c>
      <x:c r="I452" s="14" t="str">
        <x:v>Kapoor, S., &amp; Narayanan, A.</x:v>
      </x:c>
      <x:c r="J452" s="18" t="n">
        <x:v>2023</x:v>
      </x:c>
      <x:c r="K452" s="14" t="str">
        <x:v>研究文献</x:v>
      </x:c>
      <x:c r="L452" s="14" t="str">
        <x:v>选读</x:v>
      </x:c>
      <x:c r="M452" s="14" t="str">
        <x:v>未取得全文；页面响应不能证明全文权限。</x:v>
      </x:c>
      <x:c r="N452" s="14" t="str">
        <x:v>从 DOI 或出版社页查看全文；也可使用学校图书馆或作者公开版本。</x:v>
      </x:c>
      <x:c r="O452" s="14" t="str">
        <x:v>**数据泄漏导致的可重复性危机**：系统检视了多个领域的泄漏案例</x:v>
      </x:c>
      <x:c r="P452" s="14" t="str">
        <x:v>10.1016/j.patter.2023.100804</x:v>
      </x:c>
      <x:c r="Q452" s="14" t="str"/>
      <x:c r="R452" s="17"/>
      <x:c r="S452" s="14" t="str"/>
      <x:c r="T452" s="14" t="str"/>
      <x:c r="U452" s="19" t="n">
        <x:v>46303</x:v>
      </x:c>
    </x:row>
    <x:row r="453" ht="68" customHeight="1">
      <x:c r="A453" s="14" t="str">
        <x:v>D-ECFE6F12</x:v>
      </x:c>
      <x:c r="B453" s="14" t="str">
        <x:v>需人工获取</x:v>
      </x:c>
      <x:c r="C453" s="14" t="str">
        <x:v>General pitfalls of model-agnostic interpretation methods for machine learning models</x:v>
      </x:c>
      <x:c r="D453" s="14" t="str">
        <x:v>英文</x:v>
      </x:c>
      <x:c r="E453" s="15" t="str">
        <x:v>未处理</x:v>
      </x:c>
      <x:c r="F453" s="15" t="str"/>
      <x:c r="G453" s="16" t="str">
        <x:v>https://doi.org/10.1007/978-3-031-04083-2_4</x:v>
      </x:c>
      <x:c r="H453" s="14" t="str">
        <x:v>J03</x:v>
      </x:c>
      <x:c r="I453" s="14" t="str">
        <x:v>Molnar, C., König, G., Herbinger, J., et al.</x:v>
      </x:c>
      <x:c r="J453" s="18" t="n">
        <x:v>2022</x:v>
      </x:c>
      <x:c r="K453" s="14" t="str">
        <x:v>研究文献</x:v>
      </x:c>
      <x:c r="L453" s="14" t="str">
        <x:v>选读</x:v>
      </x:c>
      <x:c r="M453" s="14" t="str">
        <x:v>未取得全文；页面响应不能证明全文权限。</x:v>
      </x:c>
      <x:c r="N453" s="14" t="str">
        <x:v>从 DOI 或出版社页查看全文；也可使用学校图书馆或作者公开版本。</x:v>
      </x:c>
      <x:c r="O453" s="14" t="str">
        <x:v>**可解释性方法的系统性陷阱**：特征相关、外推、聚合掩盖异质性</x:v>
      </x:c>
      <x:c r="P453" s="14" t="str">
        <x:v>10.1007/978-3-031-04083-2_4</x:v>
      </x:c>
      <x:c r="Q453" s="14" t="str"/>
      <x:c r="R453" s="17"/>
      <x:c r="S453" s="14" t="str"/>
      <x:c r="T453" s="14" t="str"/>
      <x:c r="U453" s="19" t="n">
        <x:v>46303</x:v>
      </x:c>
    </x:row>
    <x:row r="454" ht="68" customHeight="1">
      <x:c r="A454" s="14" t="str">
        <x:v>D-CB0B8666</x:v>
      </x:c>
      <x:c r="B454" s="14" t="str">
        <x:v>需人工获取</x:v>
      </x:c>
      <x:c r="C454" s="14" t="str">
        <x:v>Stop explaining black box machine learning models for high stakes decisions and use interpretable models instead</x:v>
      </x:c>
      <x:c r="D454" s="14" t="str">
        <x:v>英文</x:v>
      </x:c>
      <x:c r="E454" s="15" t="str">
        <x:v>未处理</x:v>
      </x:c>
      <x:c r="F454" s="15" t="str"/>
      <x:c r="G454" s="16" t="str">
        <x:v>https://doi.org/10.1038/s42256-019-0048-x</x:v>
      </x:c>
      <x:c r="H454" s="14" t="str">
        <x:v>J03</x:v>
      </x:c>
      <x:c r="I454" s="14" t="str">
        <x:v>Rudin, C.</x:v>
      </x:c>
      <x:c r="J454" s="18" t="n">
        <x:v>2019</x:v>
      </x:c>
      <x:c r="K454" s="14" t="str">
        <x:v>研究文献</x:v>
      </x:c>
      <x:c r="L454" s="14" t="str">
        <x:v>选读</x:v>
      </x:c>
      <x:c r="M454" s="14" t="str">
        <x:v>未取得全文；页面响应不能证明全文权限。</x:v>
      </x:c>
      <x:c r="N454" s="14" t="str">
        <x:v>从 DOI 或出版社页查看全文；也可使用学校图书馆或作者公开版本。</x:v>
      </x:c>
      <x:c r="O454" s="14" t="str">
        <x:v>**标题即立场**：高风险决策应直接用可解释模型，而不是事后解释黑箱</x:v>
      </x:c>
      <x:c r="P454" s="14" t="str">
        <x:v>10.1038/s42256-019-0048-x</x:v>
      </x:c>
      <x:c r="Q454" s="14" t="str"/>
      <x:c r="R454" s="17"/>
      <x:c r="S454" s="14" t="str"/>
      <x:c r="T454" s="14" t="str"/>
      <x:c r="U454" s="19" t="n">
        <x:v>46303</x:v>
      </x:c>
    </x:row>
    <x:row r="455" ht="68" customHeight="1">
      <x:c r="A455" s="14" t="str">
        <x:v>D-A3C4ACE8</x:v>
      </x:c>
      <x:c r="B455" s="14" t="str">
        <x:v>需人工获取</x:v>
      </x:c>
      <x:c r="C455" s="14" t="str">
        <x:v>Natural language analysis and the psychology of verbal behavior</x:v>
      </x:c>
      <x:c r="D455" s="14" t="str">
        <x:v>英文</x:v>
      </x:c>
      <x:c r="E455" s="15" t="str">
        <x:v>未处理</x:v>
      </x:c>
      <x:c r="F455" s="15" t="str"/>
      <x:c r="G455" s="16" t="str">
        <x:v>https://doi.org/10.1177/0261927x20967028</x:v>
      </x:c>
      <x:c r="H455" s="14" t="str">
        <x:v>J04</x:v>
      </x:c>
      <x:c r="I455" s="14" t="str">
        <x:v>Boyd, R. L., &amp; Schwartz, H. A.</x:v>
      </x:c>
      <x:c r="J455" s="18" t="n">
        <x:v>2021</x:v>
      </x:c>
      <x:c r="K455" s="14" t="str">
        <x:v>研究文献</x:v>
      </x:c>
      <x:c r="L455" s="14" t="str">
        <x:v>选读</x:v>
      </x:c>
      <x:c r="M455" s="14" t="str">
        <x:v>未取得全文；页面响应不能证明全文权限。</x:v>
      </x:c>
      <x:c r="N455" s="14" t="str">
        <x:v>从 DOI 或出版社页查看全文；也可使用学校图书馆或作者公开版本。</x:v>
      </x:c>
      <x:c r="O455" s="14" t="str">
        <x:v>词典法的局限与新方法的关系</x:v>
      </x:c>
      <x:c r="P455" s="14" t="str">
        <x:v>10.1177/0261927x20967028</x:v>
      </x:c>
      <x:c r="Q455" s="14" t="str"/>
      <x:c r="R455" s="17"/>
      <x:c r="S455" s="14" t="str"/>
      <x:c r="T455" s="14" t="str"/>
      <x:c r="U455" s="19" t="n">
        <x:v>46303</x:v>
      </x:c>
    </x:row>
    <x:row r="456" ht="68" customHeight="1">
      <x:c r="A456" s="14" t="str">
        <x:v>D-A7218A00</x:v>
      </x:c>
      <x:c r="B456" s="14" t="str">
        <x:v>需人工获取</x:v>
      </x:c>
      <x:c r="C456" s="14" t="str">
        <x:v>Text as data: The promise and pitfalls of automatic content analysis methods for political texts</x:v>
      </x:c>
      <x:c r="D456" s="14" t="str">
        <x:v>英文</x:v>
      </x:c>
      <x:c r="E456" s="15" t="str">
        <x:v>未处理</x:v>
      </x:c>
      <x:c r="F456" s="15" t="str"/>
      <x:c r="G456" s="16" t="str">
        <x:v>https://doi.org/10.1093/pan/mps028</x:v>
      </x:c>
      <x:c r="H456" s="14" t="str">
        <x:v>J04；J07；J12；J13；J16；O02</x:v>
      </x:c>
      <x:c r="I456" s="14" t="str">
        <x:v>Grimmer, J., &amp; Stewart, B. M.</x:v>
      </x:c>
      <x:c r="J456" s="18" t="n">
        <x:v>2013</x:v>
      </x:c>
      <x:c r="K456" s="14" t="str">
        <x:v>研究文献</x:v>
      </x:c>
      <x:c r="L456" s="14" t="str">
        <x:v>选读</x:v>
      </x:c>
      <x:c r="M456" s="14" t="str">
        <x:v>未取得全文；页面响应不能证明全文权限。</x:v>
      </x:c>
      <x:c r="N456" s="14" t="str">
        <x:v>从 DOI 或出版社页查看全文；也可使用学校图书馆或作者公开版本。</x:v>
      </x:c>
      <x:c r="O456" s="14" t="str">
        <x:v>**四条原则**，其中「所有方法都是错的，但有些有用」「验证、验证、再验证」尤其重要</x:v>
      </x:c>
      <x:c r="P456" s="14" t="str">
        <x:v>10.1093/pan/mps028</x:v>
      </x:c>
      <x:c r="Q456" s="14" t="str"/>
      <x:c r="R456" s="17"/>
      <x:c r="S456" s="14" t="str"/>
      <x:c r="T456" s="14" t="str"/>
      <x:c r="U456" s="19" t="n">
        <x:v>46303</x:v>
      </x:c>
    </x:row>
    <x:row r="457" ht="68" customHeight="1">
      <x:c r="A457" s="14" t="str">
        <x:v>D-3849BCDC</x:v>
      </x:c>
      <x:c r="B457" s="14" t="str">
        <x:v>需人工获取</x:v>
      </x:c>
      <x:c r="C457" s="14" t="str">
        <x:v>Text preprocessing for unsupervised learning: Why it matters, when it misleads, and what to do about it</x:v>
      </x:c>
      <x:c r="D457" s="14" t="str">
        <x:v>英文</x:v>
      </x:c>
      <x:c r="E457" s="15" t="str">
        <x:v>未处理</x:v>
      </x:c>
      <x:c r="F457" s="15" t="str"/>
      <x:c r="G457" s="16" t="str">
        <x:v>https://doi.org/10.1017/pan.2017.44</x:v>
      </x:c>
      <x:c r="H457" s="14" t="str">
        <x:v>J05</x:v>
      </x:c>
      <x:c r="I457" s="14" t="str">
        <x:v>Denny, M. J., &amp; Spirling, A.</x:v>
      </x:c>
      <x:c r="J457" s="18" t="n">
        <x:v>2018</x:v>
      </x:c>
      <x:c r="K457" s="14" t="str">
        <x:v>研究文献</x:v>
      </x:c>
      <x:c r="L457" s="14" t="str">
        <x:v>选读</x:v>
      </x:c>
      <x:c r="M457" s="14" t="str">
        <x:v>未取得全文；页面响应不能证明全文权限。</x:v>
      </x:c>
      <x:c r="N457" s="14" t="str">
        <x:v>从 DOI 或出版社页查看全文；也可使用学校图书馆或作者公开版本。</x:v>
      </x:c>
      <x:c r="O457" s="14" t="str">
        <x:v>**预处理选择会实质改变主题模型结果**，必须做敏感性分析</x:v>
      </x:c>
      <x:c r="P457" s="14" t="str">
        <x:v>10.1017/pan.2017.44</x:v>
      </x:c>
      <x:c r="Q457" s="14" t="str"/>
      <x:c r="R457" s="17"/>
      <x:c r="S457" s="14" t="str"/>
      <x:c r="T457" s="14" t="str"/>
      <x:c r="U457" s="19" t="n">
        <x:v>46303</x:v>
      </x:c>
    </x:row>
    <x:row r="458" ht="68" customHeight="1">
      <x:c r="A458" s="14" t="str">
        <x:v>D-3D946D51</x:v>
      </x:c>
      <x:c r="B458" s="14" t="str">
        <x:v>需人工获取</x:v>
      </x:c>
      <x:c r="C458" s="14" t="str">
        <x:v>Word embeddings quantify 100 years of gender and ethnic stereotypes</x:v>
      </x:c>
      <x:c r="D458" s="14" t="str">
        <x:v>英文</x:v>
      </x:c>
      <x:c r="E458" s="15" t="str">
        <x:v>未处理</x:v>
      </x:c>
      <x:c r="F458" s="15" t="str"/>
      <x:c r="G458" s="16" t="str">
        <x:v>https://doi.org/10.1073/pnas.1720347115</x:v>
      </x:c>
      <x:c r="H458" s="14" t="str">
        <x:v>J06</x:v>
      </x:c>
      <x:c r="I458" s="14" t="str">
        <x:v>Garg, N., Schiebinger, L., Jurafsky, D., &amp; Zou, J.</x:v>
      </x:c>
      <x:c r="J458" s="18" t="n">
        <x:v>2018</x:v>
      </x:c>
      <x:c r="K458" s="14" t="str">
        <x:v>研究文献</x:v>
      </x:c>
      <x:c r="L458" s="14" t="str">
        <x:v>选读</x:v>
      </x:c>
      <x:c r="M458" s="14" t="str">
        <x:v>未取得全文；页面响应不能证明全文权限。</x:v>
      </x:c>
      <x:c r="N458" s="14" t="str">
        <x:v>从 DOI 或出版社页查看全文；也可使用学校图书馆或作者公开版本。</x:v>
      </x:c>
      <x:c r="O458" s="14" t="str">
        <x:v>**历时研究的典范**：用百年语料追踪刻板印象变迁</x:v>
      </x:c>
      <x:c r="P458" s="14" t="str">
        <x:v>10.1073/pnas.1720347115</x:v>
      </x:c>
      <x:c r="Q458" s="14" t="str"/>
      <x:c r="R458" s="17"/>
      <x:c r="S458" s="14" t="str"/>
      <x:c r="T458" s="14" t="str"/>
      <x:c r="U458" s="19" t="n">
        <x:v>46303</x:v>
      </x:c>
    </x:row>
    <x:row r="459" ht="68" customHeight="1">
      <x:c r="A459" s="14" t="str">
        <x:v>D-A20BB2C6</x:v>
      </x:c>
      <x:c r="B459" s="14" t="str">
        <x:v>需人工获取</x:v>
      </x:c>
      <x:c r="C459" s="14" t="str">
        <x:v>Can Large Language Models Transform Computational Social Science?</x:v>
      </x:c>
      <x:c r="D459" s="14" t="str">
        <x:v>英文</x:v>
      </x:c>
      <x:c r="E459" s="15" t="str">
        <x:v>未处理</x:v>
      </x:c>
      <x:c r="F459" s="15" t="str"/>
      <x:c r="G459" s="16" t="str">
        <x:v>https://doi.org/10.1162/coli_a_00502</x:v>
      </x:c>
      <x:c r="H459" s="14" t="str">
        <x:v>J07</x:v>
      </x:c>
      <x:c r="I459" s="14" t="str">
        <x:v>Ziems</x:v>
      </x:c>
      <x:c r="J459" s="18" t="n">
        <x:v>2024</x:v>
      </x:c>
      <x:c r="K459" s="14" t="str">
        <x:v>文献</x:v>
      </x:c>
      <x:c r="L459" s="14" t="str">
        <x:v>选读</x:v>
      </x:c>
      <x:c r="M459" s="14" t="str">
        <x:v>未取得全文；页面响应不能证明全文权限。</x:v>
      </x:c>
      <x:c r="N459" s="14" t="str">
        <x:v>从 DOI 或出版社页查看全文；也可使用学校图书馆或作者公开版本。</x:v>
      </x:c>
      <x:c r="O459" s="14" t="str">
        <x:v>计算社会科学任务的系统评估与方法讨论。</x:v>
      </x:c>
      <x:c r="P459" s="14" t="str">
        <x:v>10.1162/coli_a_00502</x:v>
      </x:c>
      <x:c r="Q459" s="14" t="str"/>
      <x:c r="R459" s="17"/>
      <x:c r="S459" s="14" t="str"/>
      <x:c r="T459" s="14" t="str"/>
      <x:c r="U459" s="19" t="n">
        <x:v>46303</x:v>
      </x:c>
    </x:row>
    <x:row r="460" ht="68" customHeight="1">
      <x:c r="A460" s="14" t="str">
        <x:v>D-C3BFD373</x:v>
      </x:c>
      <x:c r="B460" s="14" t="str">
        <x:v>需人工获取</x:v>
      </x:c>
      <x:c r="C460" s="14" t="str">
        <x:v>The dangers of using proprietary LLMs for research</x:v>
      </x:c>
      <x:c r="D460" s="14" t="str">
        <x:v>英文</x:v>
      </x:c>
      <x:c r="E460" s="15" t="str">
        <x:v>未处理</x:v>
      </x:c>
      <x:c r="F460" s="15" t="str"/>
      <x:c r="G460" s="16" t="str">
        <x:v>https://doi.org/10.1038/s42256-023-00783-6</x:v>
      </x:c>
      <x:c r="H460" s="14" t="str">
        <x:v>J07</x:v>
      </x:c>
      <x:c r="I460" s="14" t="str">
        <x:v>Ollion, É., Shen, R., Macanovic, A., &amp; Chatelain, A.</x:v>
      </x:c>
      <x:c r="J460" s="18" t="n">
        <x:v>2024</x:v>
      </x:c>
      <x:c r="K460" s="14" t="str">
        <x:v>研究文献</x:v>
      </x:c>
      <x:c r="L460" s="14" t="str">
        <x:v>选读</x:v>
      </x:c>
      <x:c r="M460" s="14" t="str">
        <x:v>未取得全文；页面响应不能证明全文权限。</x:v>
      </x:c>
      <x:c r="N460" s="14" t="str">
        <x:v>从 DOI 或出版社页查看全文；也可使用学校图书馆或作者公开版本。</x:v>
      </x:c>
      <x:c r="O460" s="14" t="str">
        <x:v>**闭源模型的可重复性问题**：版本会变，结果无法复现</x:v>
      </x:c>
      <x:c r="P460" s="14" t="str">
        <x:v>10.1038/s42256-023-00783-6</x:v>
      </x:c>
      <x:c r="Q460" s="14" t="str"/>
      <x:c r="R460" s="17"/>
      <x:c r="S460" s="14" t="str"/>
      <x:c r="T460" s="14" t="str"/>
      <x:c r="U460" s="19" t="n">
        <x:v>46303</x:v>
      </x:c>
    </x:row>
    <x:row r="461" ht="68" customHeight="1">
      <x:c r="A461" s="14" t="str">
        <x:v>D-4CFED15B</x:v>
      </x:c>
      <x:c r="B461" s="14" t="str">
        <x:v>需人工获取</x:v>
      </x:c>
      <x:c r="C461" s="14" t="str">
        <x:v>Large language models that replace human participants can harmfully misportray and flatten identity groups</x:v>
      </x:c>
      <x:c r="D461" s="14" t="str">
        <x:v>英文</x:v>
      </x:c>
      <x:c r="E461" s="15" t="str">
        <x:v>未处理</x:v>
      </x:c>
      <x:c r="F461" s="15" t="str"/>
      <x:c r="G461" s="16" t="str">
        <x:v>https://doi.org/10.1038/s42256-025-00986-z</x:v>
      </x:c>
      <x:c r="H461" s="14" t="str">
        <x:v>J08</x:v>
      </x:c>
      <x:c r="I461" s="14" t="str">
        <x:v>Wang, A., Morgenstern, J., &amp; Dickerson, J. P.</x:v>
      </x:c>
      <x:c r="J461" s="18" t="n">
        <x:v>2025</x:v>
      </x:c>
      <x:c r="K461" s="14" t="str">
        <x:v>研究文献</x:v>
      </x:c>
      <x:c r="L461" s="14" t="str">
        <x:v>选读</x:v>
      </x:c>
      <x:c r="M461" s="14" t="str">
        <x:v>未取得全文；页面响应不能证明全文权限。</x:v>
      </x:c>
      <x:c r="N461" s="14" t="str">
        <x:v>从 DOI 或出版社页查看全文；也可使用学校图书馆或作者公开版本。</x:v>
      </x:c>
      <x:c r="O461" s="14" t="str">
        <x:v>**身份群体刻画的系统性失败**</x:v>
      </x:c>
      <x:c r="P461" s="14" t="str">
        <x:v>10.1038/s42256-025-00986-z</x:v>
      </x:c>
      <x:c r="Q461" s="14" t="str"/>
      <x:c r="R461" s="17"/>
      <x:c r="S461" s="14" t="str"/>
      <x:c r="T461" s="14" t="str"/>
      <x:c r="U461" s="19" t="n">
        <x:v>46303</x:v>
      </x:c>
    </x:row>
    <x:row r="462" ht="68" customHeight="1">
      <x:c r="A462" s="14" t="str">
        <x:v>D-8E0186C2</x:v>
      </x:c>
      <x:c r="B462" s="14" t="str">
        <x:v>需人工获取</x:v>
      </x:c>
      <x:c r="C462" s="14" t="str">
        <x:v>Synthetic replacements for human survey data? The perils of large language models</x:v>
      </x:c>
      <x:c r="D462" s="14" t="str">
        <x:v>英文</x:v>
      </x:c>
      <x:c r="E462" s="15" t="str">
        <x:v>未处理</x:v>
      </x:c>
      <x:c r="F462" s="15" t="str"/>
      <x:c r="G462" s="16" t="str">
        <x:v>https://doi.org/10.31235/osf.io/5ecfa</x:v>
      </x:c>
      <x:c r="H462" s="14" t="str">
        <x:v>J08</x:v>
      </x:c>
      <x:c r="I462" s="14" t="str">
        <x:v>Bisbee, J., Clinton, J. D., Dorff, C., Kenkel, B., &amp; Larson, J. M.</x:v>
      </x:c>
      <x:c r="J462" s="18" t="n">
        <x:v>2024</x:v>
      </x:c>
      <x:c r="K462" s="14" t="str">
        <x:v>研究文献</x:v>
      </x:c>
      <x:c r="L462" s="14" t="str">
        <x:v>选读</x:v>
      </x:c>
      <x:c r="M462" s="14" t="str">
        <x:v>未取得全文；页面响应不能证明全文权限。</x:v>
      </x:c>
      <x:c r="N462" s="14" t="str">
        <x:v>从 DOI 或出版社页查看全文；也可使用学校图书馆或作者公开版本。</x:v>
      </x:c>
      <x:c r="O462" s="14" t="str">
        <x:v>**标题即结论**：分布过于同质、方差被压缩、对少数群体刻板化 链接为作者公开稿或工作论文，可能与正式发表版在年份、题名或内容上不同；引用时请核对所用版本。</x:v>
      </x:c>
      <x:c r="P462" s="14" t="str">
        <x:v>10.31235/osf.io/5ecfa</x:v>
      </x:c>
      <x:c r="Q462" s="14" t="str"/>
      <x:c r="R462" s="17"/>
      <x:c r="S462" s="14" t="str"/>
      <x:c r="T462" s="14" t="str"/>
      <x:c r="U462" s="19" t="n">
        <x:v>46303</x:v>
      </x:c>
    </x:row>
    <x:row r="463" ht="68" customHeight="1">
      <x:c r="A463" s="14" t="str">
        <x:v>D-08C72DE6</x:v>
      </x:c>
      <x:c r="B463" s="14" t="str">
        <x:v>需人工获取</x:v>
      </x:c>
      <x:c r="C463" s="14" t="str">
        <x:v>A causal test of the strength of weak ties</x:v>
      </x:c>
      <x:c r="D463" s="14" t="str">
        <x:v>英文</x:v>
      </x:c>
      <x:c r="E463" s="15" t="str">
        <x:v>未处理</x:v>
      </x:c>
      <x:c r="F463" s="15" t="str"/>
      <x:c r="G463" s="16" t="str">
        <x:v>https://doi.org/10.1126/science.abl4476</x:v>
      </x:c>
      <x:c r="H463" s="14" t="str">
        <x:v>J09</x:v>
      </x:c>
      <x:c r="I463" s="14" t="str">
        <x:v>Rajkumar; Saint-Jacques; Bojinov; Brynjolfsson; Aral</x:v>
      </x:c>
      <x:c r="J463" s="18" t="n">
        <x:v>2022</x:v>
      </x:c>
      <x:c r="K463" s="14" t="str">
        <x:v>文献</x:v>
      </x:c>
      <x:c r="L463" s="14" t="str">
        <x:v>选读</x:v>
      </x:c>
      <x:c r="M463" s="14" t="str">
        <x:v>未取得全文；页面响应不能证明全文权限。</x:v>
      </x:c>
      <x:c r="N463" s="14" t="str">
        <x:v>从 DOI 或出版社页查看全文；也可使用学校图书馆或作者公开版本。</x:v>
      </x:c>
      <x:c r="O463" s="14" t="str">
        <x:v>网络结构与随机推荐实验结合；识别边界取决于平台及干预。</x:v>
      </x:c>
      <x:c r="P463" s="14" t="str">
        <x:v>10.1126/science.abl4476</x:v>
      </x:c>
      <x:c r="Q463" s="14" t="str"/>
      <x:c r="R463" s="17"/>
      <x:c r="S463" s="14" t="str"/>
      <x:c r="T463" s="14" t="str"/>
      <x:c r="U463" s="19" t="n">
        <x:v>46303</x:v>
      </x:c>
    </x:row>
    <x:row r="464" ht="68" customHeight="1">
      <x:c r="A464" s="14" t="str">
        <x:v>D-9E705DAC</x:v>
      </x:c>
      <x:c r="B464" s="14" t="str">
        <x:v>需人工获取</x:v>
      </x:c>
      <x:c r="C464" s="14" t="str">
        <x:v>Effects of missing data in social networks</x:v>
      </x:c>
      <x:c r="D464" s="14" t="str">
        <x:v>英文</x:v>
      </x:c>
      <x:c r="E464" s="15" t="str">
        <x:v>未处理</x:v>
      </x:c>
      <x:c r="F464" s="15" t="str"/>
      <x:c r="G464" s="16" t="str">
        <x:v>https://doi.org/10.1016/j.socnet.2005.07.002</x:v>
      </x:c>
      <x:c r="H464" s="14" t="str">
        <x:v>J09</x:v>
      </x:c>
      <x:c r="I464" s="14" t="str">
        <x:v>Kossinets, G.</x:v>
      </x:c>
      <x:c r="J464" s="18" t="n">
        <x:v>2006</x:v>
      </x:c>
      <x:c r="K464" s="14" t="str">
        <x:v>研究文献</x:v>
      </x:c>
      <x:c r="L464" s="14" t="str">
        <x:v>选读</x:v>
      </x:c>
      <x:c r="M464" s="14" t="str">
        <x:v>未取得全文；页面响应不能证明全文权限。</x:v>
      </x:c>
      <x:c r="N464" s="14" t="str">
        <x:v>从 DOI 或出版社页查看全文；也可使用学校图书馆或作者公开版本。</x:v>
      </x:c>
      <x:c r="O464" s="14" t="str">
        <x:v>**缺失数据对网络指标的非线性影响**</x:v>
      </x:c>
      <x:c r="P464" s="14" t="str">
        <x:v>10.1016/j.socnet.2005.07.002</x:v>
      </x:c>
      <x:c r="Q464" s="14" t="str"/>
      <x:c r="R464" s="17"/>
      <x:c r="S464" s="14" t="str"/>
      <x:c r="T464" s="14" t="str"/>
      <x:c r="U464" s="19" t="n">
        <x:v>46303</x:v>
      </x:c>
    </x:row>
    <x:row r="465" ht="68" customHeight="1">
      <x:c r="A465" s="14" t="str">
        <x:v>D-AA3D2BC6</x:v>
      </x:c>
      <x:c r="B465" s="14" t="str">
        <x:v>需人工获取</x:v>
      </x:c>
      <x:c r="C465" s="14" t="str">
        <x:v>Homophily and contagion are generically confounded in observational social network studies</x:v>
      </x:c>
      <x:c r="D465" s="14" t="str">
        <x:v>英文</x:v>
      </x:c>
      <x:c r="E465" s="15" t="str">
        <x:v>未处理</x:v>
      </x:c>
      <x:c r="F465" s="15" t="str"/>
      <x:c r="G465" s="16" t="str">
        <x:v>https://doi.org/10.1177/0049124111404820</x:v>
      </x:c>
      <x:c r="H465" s="14" t="str">
        <x:v>J09</x:v>
      </x:c>
      <x:c r="I465" s="14" t="str">
        <x:v>Shalizi, C. R., &amp; Thomas, A. C.</x:v>
      </x:c>
      <x:c r="J465" s="18" t="n">
        <x:v>2011</x:v>
      </x:c>
      <x:c r="K465" s="14" t="str">
        <x:v>研究文献</x:v>
      </x:c>
      <x:c r="L465" s="14" t="str">
        <x:v>选读</x:v>
      </x:c>
      <x:c r="M465" s="14" t="str">
        <x:v>未取得全文；页面响应不能证明全文权限。</x:v>
      </x:c>
      <x:c r="N465" s="14" t="str">
        <x:v>从 DOI 或出版社页查看全文；也可使用学校图书馆或作者公开版本。</x:v>
      </x:c>
      <x:c r="O465" s="14" t="str">
        <x:v>**同质性与传染在观察网络中根本不可区分**。这是同伴影响研究的根本难题</x:v>
      </x:c>
      <x:c r="P465" s="14" t="str">
        <x:v>10.1177/0049124111404820</x:v>
      </x:c>
      <x:c r="Q465" s="14" t="str"/>
      <x:c r="R465" s="17"/>
      <x:c r="S465" s="14" t="str"/>
      <x:c r="T465" s="14" t="str"/>
      <x:c r="U465" s="19" t="n">
        <x:v>46303</x:v>
      </x:c>
    </x:row>
    <x:row r="466" ht="68" customHeight="1">
      <x:c r="A466" s="14" t="str">
        <x:v>D-D9F76166</x:v>
      </x:c>
      <x:c r="B466" s="14" t="str">
        <x:v>需人工获取</x:v>
      </x:c>
      <x:c r="C466" s="14" t="str">
        <x:v>Modeling network dynamics</x:v>
      </x:c>
      <x:c r="D466" s="14" t="str">
        <x:v>英文</x:v>
      </x:c>
      <x:c r="E466" s="15" t="str">
        <x:v>未处理</x:v>
      </x:c>
      <x:c r="F466" s="15" t="str"/>
      <x:c r="G466" s="16" t="str">
        <x:v>https://doi.org/10.1093/oxfordhb/9780190251765.013.19</x:v>
      </x:c>
      <x:c r="H466" s="14" t="str">
        <x:v>J10</x:v>
      </x:c>
      <x:c r="I466" s="14" t="str">
        <x:v>Schaefer, D. R., &amp; Marcum, C. S.</x:v>
      </x:c>
      <x:c r="J466" s="18" t="n">
        <x:v>2020</x:v>
      </x:c>
      <x:c r="K466" s="14" t="str">
        <x:v>研究文献</x:v>
      </x:c>
      <x:c r="L466" s="14" t="str">
        <x:v>选读</x:v>
      </x:c>
      <x:c r="M466" s="14" t="str">
        <x:v>未取得全文；页面响应不能证明全文权限。</x:v>
      </x:c>
      <x:c r="N466" s="14" t="str">
        <x:v>从 DOI 或出版社页查看全文；也可使用学校图书馆或作者公开版本。</x:v>
      </x:c>
      <x:c r="O466" s="14" t="str">
        <x:v>SAOM 与其他纵向网络模型的比较与选择</x:v>
      </x:c>
      <x:c r="P466" s="14" t="str">
        <x:v>10.1093/oxfordhb/9780190251765.013.19</x:v>
      </x:c>
      <x:c r="Q466" s="14" t="str"/>
      <x:c r="R466" s="17"/>
      <x:c r="S466" s="14" t="str"/>
      <x:c r="T466" s="14" t="str"/>
      <x:c r="U466" s="19" t="n">
        <x:v>46303</x:v>
      </x:c>
    </x:row>
    <x:row r="467" ht="68" customHeight="1">
      <x:c r="A467" s="14" t="str">
        <x:v>D-B33AF8E9</x:v>
      </x:c>
      <x:c r="B467" s="14" t="str">
        <x:v>需人工获取</x:v>
      </x:c>
      <x:c r="C467" s="14" t="str">
        <x:v>How to translate a verbal theory into a formal model</x:v>
      </x:c>
      <x:c r="D467" s="14" t="str">
        <x:v>英文</x:v>
      </x:c>
      <x:c r="E467" s="15" t="str">
        <x:v>未处理</x:v>
      </x:c>
      <x:c r="F467" s="15" t="str"/>
      <x:c r="G467" s="16" t="str">
        <x:v>https://doi.org/10.1027/1864-9335/a000425</x:v>
      </x:c>
      <x:c r="H467" s="14" t="str">
        <x:v>J11</x:v>
      </x:c>
      <x:c r="I467" s="14" t="str">
        <x:v>Smaldino, P. E.</x:v>
      </x:c>
      <x:c r="J467" s="18" t="n">
        <x:v>2020</x:v>
      </x:c>
      <x:c r="K467" s="14" t="str">
        <x:v>研究文献</x:v>
      </x:c>
      <x:c r="L467" s="14" t="str">
        <x:v>选读</x:v>
      </x:c>
      <x:c r="M467" s="14" t="str">
        <x:v>未取得全文；页面响应不能证明全文权限。</x:v>
      </x:c>
      <x:c r="N467" s="14" t="str">
        <x:v>从 DOI 或出版社页查看全文；也可使用学校图书馆或作者公开版本。</x:v>
      </x:c>
      <x:c r="O467" s="14" t="str">
        <x:v>**操作指南**：把口头理论写成规则的过程本身就会暴露理论的含糊</x:v>
      </x:c>
      <x:c r="P467" s="14" t="str">
        <x:v>10.1027/1864-9335/a000425</x:v>
      </x:c>
      <x:c r="Q467" s="14" t="str"/>
      <x:c r="R467" s="17"/>
      <x:c r="S467" s="14" t="str"/>
      <x:c r="T467" s="14" t="str"/>
      <x:c r="U467" s="19" t="n">
        <x:v>46303</x:v>
      </x:c>
    </x:row>
    <x:row r="468" ht="68" customHeight="1">
      <x:c r="A468" s="14" t="str">
        <x:v>D-0CF55CD8</x:v>
      </x:c>
      <x:c r="B468" s="14" t="str">
        <x:v>需人工获取</x:v>
      </x:c>
      <x:c r="C468" s="14" t="str">
        <x:v>Computational social science: Obstacles and opportunities</x:v>
      </x:c>
      <x:c r="D468" s="14" t="str">
        <x:v>英文</x:v>
      </x:c>
      <x:c r="E468" s="15" t="str">
        <x:v>未处理</x:v>
      </x:c>
      <x:c r="F468" s="15" t="str"/>
      <x:c r="G468" s="16" t="str">
        <x:v>https://doi.org/10.1126/science.aaz8170</x:v>
      </x:c>
      <x:c r="H468" s="14" t="str">
        <x:v>J12</x:v>
      </x:c>
      <x:c r="I468" s="14" t="str">
        <x:v>Lazer</x:v>
      </x:c>
      <x:c r="J468" s="18" t="n">
        <x:v>2020</x:v>
      </x:c>
      <x:c r="K468" s="14" t="str">
        <x:v>文献</x:v>
      </x:c>
      <x:c r="L468" s="14" t="str">
        <x:v>选读</x:v>
      </x:c>
      <x:c r="M468" s="14" t="str">
        <x:v>未取得全文；页面响应不能证明全文权限。</x:v>
      </x:c>
      <x:c r="N468" s="14" t="str">
        <x:v>从 DOI 或出版社页查看全文；也可使用学校图书馆或作者公开版本。</x:v>
      </x:c>
      <x:c r="O468" s="14" t="str">
        <x:v>计算社会科学发展中的数据访问、训练与研究基础设施问题。</x:v>
      </x:c>
      <x:c r="P468" s="14" t="str">
        <x:v>10.1126/science.aaz8170</x:v>
      </x:c>
      <x:c r="Q468" s="14" t="str"/>
      <x:c r="R468" s="17"/>
      <x:c r="S468" s="14" t="str"/>
      <x:c r="T468" s="14" t="str"/>
      <x:c r="U468" s="19" t="n">
        <x:v>46303</x:v>
      </x:c>
    </x:row>
    <x:row r="469" ht="68" customHeight="1">
      <x:c r="A469" s="14" t="str">
        <x:v>D-1D1DC353</x:v>
      </x:c>
      <x:c r="B469" s="14" t="str">
        <x:v>需人工获取</x:v>
      </x:c>
      <x:c r="C469" s="14" t="str">
        <x:v>The parable of Google Flu: Traps in big data analysis</x:v>
      </x:c>
      <x:c r="D469" s="14" t="str">
        <x:v>英文</x:v>
      </x:c>
      <x:c r="E469" s="15" t="str">
        <x:v>未处理</x:v>
      </x:c>
      <x:c r="F469" s="15" t="str"/>
      <x:c r="G469" s="16" t="str">
        <x:v>https://doi.org/10.1126/science.1248506</x:v>
      </x:c>
      <x:c r="H469" s="14" t="str">
        <x:v>J12</x:v>
      </x:c>
      <x:c r="I469" s="14" t="str">
        <x:v>Lazer, D., Kennedy, R., King, G., &amp; Vespignani, A.</x:v>
      </x:c>
      <x:c r="J469" s="18" t="n">
        <x:v>2014</x:v>
      </x:c>
      <x:c r="K469" s="14" t="str">
        <x:v>研究文献</x:v>
      </x:c>
      <x:c r="L469" s="14" t="str">
        <x:v>选读</x:v>
      </x:c>
      <x:c r="M469" s="14" t="str">
        <x:v>未取得全文；页面响应不能证明全文权限。</x:v>
      </x:c>
      <x:c r="N469" s="14" t="str">
        <x:v>从 DOI 或出版社页查看全文；也可使用学校图书馆或作者公开版本。</x:v>
      </x:c>
      <x:c r="O469" s="14" t="str">
        <x:v>**大数据分析的经典教训**：算法漂移与过度拟合</x:v>
      </x:c>
      <x:c r="P469" s="14" t="str">
        <x:v>10.1126/science.1248506</x:v>
      </x:c>
      <x:c r="Q469" s="14" t="str"/>
      <x:c r="R469" s="17"/>
      <x:c r="S469" s="14" t="str"/>
      <x:c r="T469" s="14" t="str"/>
      <x:c r="U469" s="19" t="n">
        <x:v>46303</x:v>
      </x:c>
    </x:row>
    <x:row r="470" ht="68" customHeight="1">
      <x:c r="A470" s="14" t="str">
        <x:v>D-BB87AE0E</x:v>
      </x:c>
      <x:c r="B470" s="14" t="str">
        <x:v>需人工获取</x:v>
      </x:c>
      <x:c r="C470" s="14" t="str">
        <x:v>What data are smartphone users willing to share with researchers?</x:v>
      </x:c>
      <x:c r="D470" s="14" t="str">
        <x:v>英文</x:v>
      </x:c>
      <x:c r="E470" s="15" t="str">
        <x:v>未处理</x:v>
      </x:c>
      <x:c r="F470" s="15" t="str"/>
      <x:c r="G470" s="16" t="str">
        <x:v>https://doi.org/10.1007/s12652-019-01355-6</x:v>
      </x:c>
      <x:c r="H470" s="14" t="str">
        <x:v>J12</x:v>
      </x:c>
      <x:c r="I470" s="14" t="str">
        <x:v>Beierle, F., Tran, V. T., Allemand, M., et al.</x:v>
      </x:c>
      <x:c r="J470" s="18" t="n">
        <x:v>2020</x:v>
      </x:c>
      <x:c r="K470" s="14" t="str">
        <x:v>研究文献</x:v>
      </x:c>
      <x:c r="L470" s="14" t="str">
        <x:v>选读</x:v>
      </x:c>
      <x:c r="M470" s="14" t="str">
        <x:v>未取得全文；页面响应不能证明全文权限。</x:v>
      </x:c>
      <x:c r="N470" s="14" t="str">
        <x:v>从 DOI 或出版社页查看全文；也可使用学校图书馆或作者公开版本。</x:v>
      </x:c>
      <x:c r="O470" s="14" t="str">
        <x:v>伦理与知情同意的实证基础</x:v>
      </x:c>
      <x:c r="P470" s="14" t="str">
        <x:v>10.1007/s12652-019-01355-6</x:v>
      </x:c>
      <x:c r="Q470" s="14" t="str"/>
      <x:c r="R470" s="17"/>
      <x:c r="S470" s="14" t="str"/>
      <x:c r="T470" s="14" t="str"/>
      <x:c r="U470" s="19" t="n">
        <x:v>46303</x:v>
      </x:c>
    </x:row>
    <x:row r="471" ht="68" customHeight="1">
      <x:c r="A471" s="14" t="str">
        <x:v>D-8BD29A06</x:v>
      </x:c>
      <x:c r="B471" s="14" t="str">
        <x:v>需人工获取</x:v>
      </x:c>
      <x:c r="C471" s="14" t="str">
        <x:v>A systematic review of Bayesian articles in psychology: The last 25 years</x:v>
      </x:c>
      <x:c r="D471" s="14" t="str">
        <x:v>英文</x:v>
      </x:c>
      <x:c r="E471" s="15" t="str">
        <x:v>未处理</x:v>
      </x:c>
      <x:c r="F471" s="15" t="str"/>
      <x:c r="G471" s="16" t="str">
        <x:v>https://doi.org/10.1037/met0000100</x:v>
      </x:c>
      <x:c r="H471" s="14" t="str">
        <x:v>K01</x:v>
      </x:c>
      <x:c r="I471" s="14" t="str">
        <x:v>van de Schoot, R., Winter, S. D., Ryan, O., Zondervan-Zwijnenburg, M., &amp; Depaoli, S.</x:v>
      </x:c>
      <x:c r="J471" s="18" t="n">
        <x:v>2017</x:v>
      </x:c>
      <x:c r="K471" s="14" t="str">
        <x:v>研究文献</x:v>
      </x:c>
      <x:c r="L471" s="14" t="str">
        <x:v>选读</x:v>
      </x:c>
      <x:c r="M471" s="14" t="str">
        <x:v>未取得全文；页面响应不能证明全文权限。</x:v>
      </x:c>
      <x:c r="N471" s="14" t="str">
        <x:v>从 DOI 或出版社页查看全文；也可使用学校图书馆或作者公开版本。</x:v>
      </x:c>
      <x:c r="O471" s="14" t="str">
        <x:v>**心理学贝叶斯应用的系统检视**：多数论文不报告先验、不做敏感性分析。看完知道该避免什么</x:v>
      </x:c>
      <x:c r="P471" s="14" t="str">
        <x:v>10.1037/met0000100</x:v>
      </x:c>
      <x:c r="Q471" s="14" t="str"/>
      <x:c r="R471" s="17"/>
      <x:c r="S471" s="14" t="str"/>
      <x:c r="T471" s="14" t="str"/>
      <x:c r="U471" s="19" t="n">
        <x:v>46303</x:v>
      </x:c>
    </x:row>
    <x:row r="472" ht="68" customHeight="1">
      <x:c r="A472" s="14" t="str">
        <x:v>D-A22E6246</x:v>
      </x:c>
      <x:c r="B472" s="14" t="str">
        <x:v>需人工获取</x:v>
      </x:c>
      <x:c r="C472" s="14" t="str">
        <x:v>The Bayesian New Statistics: Hypothesis testing, estimation, meta-analysis, and power analysis from a Bayesian perspective</x:v>
      </x:c>
      <x:c r="D472" s="14" t="str">
        <x:v>英文</x:v>
      </x:c>
      <x:c r="E472" s="15" t="str">
        <x:v>未处理</x:v>
      </x:c>
      <x:c r="F472" s="15" t="str"/>
      <x:c r="G472" s="16" t="str">
        <x:v>https://doi.org/10.2139/ssrn.2606016</x:v>
      </x:c>
      <x:c r="H472" s="14" t="str">
        <x:v>K03</x:v>
      </x:c>
      <x:c r="I472" s="14" t="str">
        <x:v>Kruschke, J. K., &amp; Liddell, T. M.</x:v>
      </x:c>
      <x:c r="J472" s="18" t="n">
        <x:v>2018</x:v>
      </x:c>
      <x:c r="K472" s="14" t="str">
        <x:v>研究文献</x:v>
      </x:c>
      <x:c r="L472" s="14" t="str">
        <x:v>选读</x:v>
      </x:c>
      <x:c r="M472" s="14" t="str">
        <x:v>未取得全文；页面响应不能证明全文权限。</x:v>
      </x:c>
      <x:c r="N472" s="14" t="str">
        <x:v>从 DOI 或出版社页查看全文；也可使用学校图书馆或作者公开版本。</x:v>
      </x:c>
      <x:c r="O472" s="14" t="str">
        <x:v>**估计取向 vs 检验取向**在贝叶斯框架下的对照 链接为作者公开稿或工作论文，可能与正式发表版在年份、题名或内容上不同；引用时请核对所用版本。</x:v>
      </x:c>
      <x:c r="P472" s="14" t="str">
        <x:v>10.2139/ssrn.2606016</x:v>
      </x:c>
      <x:c r="Q472" s="14" t="str"/>
      <x:c r="R472" s="17"/>
      <x:c r="S472" s="14" t="str"/>
      <x:c r="T472" s="14" t="str"/>
      <x:c r="U472" s="19" t="n">
        <x:v>46303</x:v>
      </x:c>
    </x:row>
    <x:row r="473" ht="68" customHeight="1">
      <x:c r="A473" s="14" t="str">
        <x:v>D-EFCE6200</x:v>
      </x:c>
      <x:c r="B473" s="14" t="str">
        <x:v>需人工获取</x:v>
      </x:c>
      <x:c r="C473" s="14" t="str">
        <x:v>A Multilab Preregistered Replication of the Ego-Depletion Effect</x:v>
      </x:c>
      <x:c r="D473" s="14" t="str">
        <x:v>英文</x:v>
      </x:c>
      <x:c r="E473" s="15" t="str">
        <x:v>未处理</x:v>
      </x:c>
      <x:c r="F473" s="15" t="str"/>
      <x:c r="G473" s="16" t="str">
        <x:v>https://doi.org/10.1177/1745691616652873</x:v>
      </x:c>
      <x:c r="H473" s="14" t="str">
        <x:v>K04</x:v>
      </x:c>
      <x:c r="I473" s="14" t="str">
        <x:v>Hagger, M. S., &amp; Chatzisarantis, N. L. D.</x:v>
      </x:c>
      <x:c r="J473" s="18" t="n">
        <x:v>2016</x:v>
      </x:c>
      <x:c r="K473" s="14" t="str">
        <x:v>研究文献</x:v>
      </x:c>
      <x:c r="L473" s="14" t="str">
        <x:v>选读</x:v>
      </x:c>
      <x:c r="M473" s="14" t="str">
        <x:v>未取得全文；页面响应不能证明全文权限。</x:v>
      </x:c>
      <x:c r="N473" s="14" t="str">
        <x:v>从 DOI 或出版社页查看全文；也可使用学校图书馆或作者公开版本。</x:v>
      </x:c>
      <x:c r="O473" s="14" t="str">
        <x:v>大规模预注册重复同时报告传统与贝叶斯证据，适合学习如何用 Bayes factor 表达对近零效应的相对支持</x:v>
      </x:c>
      <x:c r="P473" s="14" t="str">
        <x:v>10.1177/1745691616652873</x:v>
      </x:c>
      <x:c r="Q473" s="14" t="str"/>
      <x:c r="R473" s="17"/>
      <x:c r="S473" s="14" t="str"/>
      <x:c r="T473" s="14" t="str"/>
      <x:c r="U473" s="19" t="n">
        <x:v>46303</x:v>
      </x:c>
    </x:row>
    <x:row r="474" ht="68" customHeight="1">
      <x:c r="A474" s="14" t="str">
        <x:v>D-0B8579F6</x:v>
      </x:c>
      <x:c r="B474" s="14" t="str">
        <x:v>需人工获取</x:v>
      </x:c>
      <x:c r="C474" s="14" t="str">
        <x:v>A review of issues about null hypothesis Bayesian testing</x:v>
      </x:c>
      <x:c r="D474" s="14" t="str">
        <x:v>英文</x:v>
      </x:c>
      <x:c r="E474" s="15" t="str">
        <x:v>未处理</x:v>
      </x:c>
      <x:c r="F474" s="15" t="str"/>
      <x:c r="G474" s="16" t="str">
        <x:v>https://doi.org/10.1037/met0000221</x:v>
      </x:c>
      <x:c r="H474" s="14" t="str">
        <x:v>K04</x:v>
      </x:c>
      <x:c r="I474" s="14" t="str">
        <x:v>Tendeiro, J. N., &amp; Kiers, H. A. L.</x:v>
      </x:c>
      <x:c r="J474" s="18" t="n">
        <x:v>2019</x:v>
      </x:c>
      <x:c r="K474" s="14" t="str">
        <x:v>研究文献</x:v>
      </x:c>
      <x:c r="L474" s="14" t="str">
        <x:v>选读</x:v>
      </x:c>
      <x:c r="M474" s="14" t="str">
        <x:v>未取得全文；页面响应不能证明全文权限。</x:v>
      </x:c>
      <x:c r="N474" s="14" t="str">
        <x:v>从 DOI 或出版社页查看全文；也可使用学校图书馆或作者公开版本。</x:v>
      </x:c>
      <x:c r="O474" s="14" t="str">
        <x:v>**对 BF 的系统批评**：它继承了 NHST 的一些问题，包括二元判断的诱惑。必须与上面的推广文献对读</x:v>
      </x:c>
      <x:c r="P474" s="14" t="str">
        <x:v>10.1037/met0000221</x:v>
      </x:c>
      <x:c r="Q474" s="14" t="str"/>
      <x:c r="R474" s="17"/>
      <x:c r="S474" s="14" t="str"/>
      <x:c r="T474" s="14" t="str"/>
      <x:c r="U474" s="19" t="n">
        <x:v>46303</x:v>
      </x:c>
    </x:row>
    <x:row r="475" ht="68" customHeight="1">
      <x:c r="A475" s="14" t="str">
        <x:v>D-4368ABCC</x:v>
      </x:c>
      <x:c r="B475" s="14" t="str">
        <x:v>需人工获取</x:v>
      </x:c>
      <x:c r="C475" s="14" t="str">
        <x:v>On using Bayesian methods to address small sample problems</x:v>
      </x:c>
      <x:c r="D475" s="14" t="str">
        <x:v>英文</x:v>
      </x:c>
      <x:c r="E475" s="15" t="str">
        <x:v>未处理</x:v>
      </x:c>
      <x:c r="F475" s="15" t="str"/>
      <x:c r="G475" s="16" t="str">
        <x:v>https://doi.org/10.1080/10705511.2016.1186549</x:v>
      </x:c>
      <x:c r="H475" s="14" t="str">
        <x:v>K05</x:v>
      </x:c>
      <x:c r="I475" s="14" t="str">
        <x:v>McNeish, D.</x:v>
      </x:c>
      <x:c r="J475" s="18" t="n">
        <x:v>2016</x:v>
      </x:c>
      <x:c r="K475" s="14" t="str">
        <x:v>研究文献</x:v>
      </x:c>
      <x:c r="L475" s="14" t="str">
        <x:v>选读</x:v>
      </x:c>
      <x:c r="M475" s="14" t="str">
        <x:v>未取得全文；页面响应不能证明全文权限。</x:v>
      </x:c>
      <x:c r="N475" s="14" t="str">
        <x:v>从 DOI 或出版社页查看全文；也可使用学校图书馆或作者公开版本。</x:v>
      </x:c>
      <x:c r="O475" s="14" t="str">
        <x:v>**小样本下贝叶斯不是万能的**：先验选择在这种情形下影响巨大</x:v>
      </x:c>
      <x:c r="P475" s="14" t="str">
        <x:v>10.1080/10705511.2016.1186549</x:v>
      </x:c>
      <x:c r="Q475" s="14" t="str"/>
      <x:c r="R475" s="17"/>
      <x:c r="S475" s="14" t="str"/>
      <x:c r="T475" s="14" t="str"/>
      <x:c r="U475" s="19" t="n">
        <x:v>46303</x:v>
      </x:c>
    </x:row>
    <x:row r="476" ht="68" customHeight="1">
      <x:c r="A476" s="14" t="str">
        <x:v>D-8FFAD532</x:v>
      </x:c>
      <x:c r="B476" s="14" t="str">
        <x:v>需人工获取</x:v>
      </x:c>
      <x:c r="C476" s="14" t="str">
        <x:v>Comparison of Bayesian predictive methods for model selection</x:v>
      </x:c>
      <x:c r="D476" s="14" t="str">
        <x:v>英文</x:v>
      </x:c>
      <x:c r="E476" s="15" t="str">
        <x:v>未处理</x:v>
      </x:c>
      <x:c r="F476" s="15" t="str"/>
      <x:c r="G476" s="16" t="str">
        <x:v>https://doi.org/10.1007/s11222-016-9649-y</x:v>
      </x:c>
      <x:c r="H476" s="14" t="str">
        <x:v>K06</x:v>
      </x:c>
      <x:c r="I476" s="14" t="str">
        <x:v>Piironen, J., &amp; Vehtari, A.</x:v>
      </x:c>
      <x:c r="J476" s="18" t="n">
        <x:v>2017</x:v>
      </x:c>
      <x:c r="K476" s="14" t="str">
        <x:v>研究文献</x:v>
      </x:c>
      <x:c r="L476" s="14" t="str">
        <x:v>选读</x:v>
      </x:c>
      <x:c r="M476" s="14" t="str">
        <x:v>未取得全文；页面响应不能证明全文权限。</x:v>
      </x:c>
      <x:c r="N476" s="14" t="str">
        <x:v>从 DOI 或出版社页查看全文；也可使用学校图书馆或作者公开版本。</x:v>
      </x:c>
      <x:c r="O476" s="14" t="str">
        <x:v>用 LOO 做模型选择的过拟合风险</x:v>
      </x:c>
      <x:c r="P476" s="14" t="str">
        <x:v>10.1007/s11222-016-9649-y</x:v>
      </x:c>
      <x:c r="Q476" s="14" t="str"/>
      <x:c r="R476" s="17"/>
      <x:c r="S476" s="14" t="str"/>
      <x:c r="T476" s="14" t="str"/>
      <x:c r="U476" s="19" t="n">
        <x:v>46303</x:v>
      </x:c>
    </x:row>
    <x:row r="477" ht="68" customHeight="1">
      <x:c r="A477" s="14" t="str">
        <x:v>D-557A44E9</x:v>
      </x:c>
      <x:c r="B477" s="14" t="str">
        <x:v>需人工获取</x:v>
      </x:c>
      <x:c r="C477" s="14" t="str">
        <x:v>Practical Bayesian model evaluation using leave-one-out cross-validation and WAIC</x:v>
      </x:c>
      <x:c r="D477" s="14" t="str">
        <x:v>英文</x:v>
      </x:c>
      <x:c r="E477" s="15" t="str">
        <x:v>未处理</x:v>
      </x:c>
      <x:c r="F477" s="15" t="str"/>
      <x:c r="G477" s="16" t="str">
        <x:v>https://doi.org/10.1007/s11222-016-9696-4</x:v>
      </x:c>
      <x:c r="H477" s="14" t="str">
        <x:v>K06；M15</x:v>
      </x:c>
      <x:c r="I477" s="14" t="str">
        <x:v>Vehtari, A., Gelman, A., &amp; Gabry, J.</x:v>
      </x:c>
      <x:c r="J477" s="18" t="n">
        <x:v>2017</x:v>
      </x:c>
      <x:c r="K477" s="14" t="str">
        <x:v>研究文献</x:v>
      </x:c>
      <x:c r="L477" s="14" t="str">
        <x:v>选读</x:v>
      </x:c>
      <x:c r="M477" s="14" t="str">
        <x:v>未取得全文；页面响应不能证明全文权限。</x:v>
      </x:c>
      <x:c r="N477" s="14" t="str">
        <x:v>从 DOI 或出版社页查看全文；也可使用学校图书馆或作者公开版本。</x:v>
      </x:c>
      <x:c r="O477" s="14" t="str">
        <x:v>贝叶斯情形下 AIC 的替代品，附 Pareto k 诊断</x:v>
      </x:c>
      <x:c r="P477" s="14" t="str">
        <x:v>10.1007/s11222-016-9696-4</x:v>
      </x:c>
      <x:c r="Q477" s="14" t="str"/>
      <x:c r="R477" s="17"/>
      <x:c r="S477" s="14" t="str"/>
      <x:c r="T477" s="14" t="str"/>
      <x:c r="U477" s="19" t="n">
        <x:v>46303</x:v>
      </x:c>
    </x:row>
    <x:row r="478" ht="68" customHeight="1">
      <x:c r="A478" s="14" t="str">
        <x:v>D-49CB2E6C</x:v>
      </x:c>
      <x:c r="B478" s="14" t="str">
        <x:v>需人工获取</x:v>
      </x:c>
      <x:c r="C478" s="14" t="str">
        <x:v>The mass production of redundant, misleading, and conflicted systematic reviews and meta-analyses</x:v>
      </x:c>
      <x:c r="D478" s="14" t="str">
        <x:v>英文</x:v>
      </x:c>
      <x:c r="E478" s="15" t="str">
        <x:v>未处理</x:v>
      </x:c>
      <x:c r="F478" s="15" t="str"/>
      <x:c r="G478" s="16" t="str">
        <x:v>https://doi.org/10.1111/1468-0009.12210</x:v>
      </x:c>
      <x:c r="H478" s="14" t="str">
        <x:v>L01</x:v>
      </x:c>
      <x:c r="I478" s="14" t="str">
        <x:v>Ioannidis, J. P. A.</x:v>
      </x:c>
      <x:c r="J478" s="18" t="n">
        <x:v>2016</x:v>
      </x:c>
      <x:c r="K478" s="14" t="str">
        <x:v>研究文献</x:v>
      </x:c>
      <x:c r="L478" s="14" t="str">
        <x:v>选读</x:v>
      </x:c>
      <x:c r="M478" s="14" t="str">
        <x:v>未取得全文；页面响应不能证明全文权限。</x:v>
      </x:c>
      <x:c r="N478" s="14" t="str">
        <x:v>从 DOI 或出版社页查看全文；也可使用学校图书馆或作者公开版本。</x:v>
      </x:c>
      <x:c r="O478" s="14" t="str">
        <x:v>**对元分析泛滥的批评**。标题即态度，值得每个做元分析的人读一遍</x:v>
      </x:c>
      <x:c r="P478" s="14" t="str">
        <x:v>10.1111/1468-0009.12210</x:v>
      </x:c>
      <x:c r="Q478" s="14" t="str"/>
      <x:c r="R478" s="17"/>
      <x:c r="S478" s="14" t="str"/>
      <x:c r="T478" s="14" t="str"/>
      <x:c r="U478" s="19" t="n">
        <x:v>46303</x:v>
      </x:c>
    </x:row>
    <x:row r="479" ht="68" customHeight="1">
      <x:c r="A479" s="14" t="str">
        <x:v>D-B2044A72</x:v>
      </x:c>
      <x:c r="B479" s="14" t="str">
        <x:v>需人工获取</x:v>
      </x:c>
      <x:c r="C479" s="14" t="str">
        <x:v>A history of meta-regression: Technical, conceptual, and practical developments</x:v>
      </x:c>
      <x:c r="D479" s="14" t="str">
        <x:v>英文</x:v>
      </x:c>
      <x:c r="E479" s="15" t="str">
        <x:v>未处理</x:v>
      </x:c>
      <x:c r="F479" s="15" t="str"/>
      <x:c r="G479" s="16" t="str">
        <x:v>https://doi.org/10.1002/jrsm.1338</x:v>
      </x:c>
      <x:c r="H479" s="14" t="str">
        <x:v>L02</x:v>
      </x:c>
      <x:c r="I479" s="14" t="str">
        <x:v>Tipton, E., Pustejovsky, J. E., &amp; Ahmadi, H.</x:v>
      </x:c>
      <x:c r="J479" s="18" t="n">
        <x:v>2019</x:v>
      </x:c>
      <x:c r="K479" s="14" t="str">
        <x:v>研究文献</x:v>
      </x:c>
      <x:c r="L479" s="14" t="str">
        <x:v>选读</x:v>
      </x:c>
      <x:c r="M479" s="14" t="str">
        <x:v>未取得全文；页面响应不能证明全文权限。</x:v>
      </x:c>
      <x:c r="N479" s="14" t="str">
        <x:v>从 DOI 或出版社页查看全文；也可使用学校图书馆或作者公开版本。</x:v>
      </x:c>
      <x:c r="O479" s="14" t="str">
        <x:v>**元回归的能力边界**：研究数少时的过拟合风险</x:v>
      </x:c>
      <x:c r="P479" s="14" t="str">
        <x:v>10.1002/jrsm.1338</x:v>
      </x:c>
      <x:c r="Q479" s="14" t="str"/>
      <x:c r="R479" s="17"/>
      <x:c r="S479" s="14" t="str"/>
      <x:c r="T479" s="14" t="str"/>
      <x:c r="U479" s="19" t="n">
        <x:v>46303</x:v>
      </x:c>
    </x:row>
    <x:row r="480" ht="68" customHeight="1">
      <x:c r="A480" s="14" t="str">
        <x:v>D-68ADD9F0</x:v>
      </x:c>
      <x:c r="B480" s="14" t="str">
        <x:v>需人工获取</x:v>
      </x:c>
      <x:c r="C480" s="14" t="str">
        <x:v>Adjusting for publication bias in the presence of heterogeneity</x:v>
      </x:c>
      <x:c r="D480" s="14" t="str">
        <x:v>英文</x:v>
      </x:c>
      <x:c r="E480" s="15" t="str">
        <x:v>未处理</x:v>
      </x:c>
      <x:c r="F480" s="15" t="str"/>
      <x:c r="G480" s="16" t="str">
        <x:v>https://doi.org/10.1002/sim.1461</x:v>
      </x:c>
      <x:c r="H480" s="14" t="str">
        <x:v>L03</x:v>
      </x:c>
      <x:c r="I480" s="14" t="str">
        <x:v>Terrin, N., Schmid, C. H., Lau, J., &amp; Olkin, I.</x:v>
      </x:c>
      <x:c r="J480" s="18" t="n">
        <x:v>2003</x:v>
      </x:c>
      <x:c r="K480" s="14" t="str">
        <x:v>研究文献</x:v>
      </x:c>
      <x:c r="L480" s="14" t="str">
        <x:v>选读</x:v>
      </x:c>
      <x:c r="M480" s="14" t="str">
        <x:v>未取得全文；页面响应不能证明全文权限。</x:v>
      </x:c>
      <x:c r="N480" s="14" t="str">
        <x:v>从 DOI 或出版社页查看全文；也可使用学校图书馆或作者公开版本。</x:v>
      </x:c>
      <x:c r="O480" s="14" t="str">
        <x:v>**trim-and-fill 在异质性高时表现很差**</x:v>
      </x:c>
      <x:c r="P480" s="14" t="str">
        <x:v>10.1002/sim.1461</x:v>
      </x:c>
      <x:c r="Q480" s="14" t="str"/>
      <x:c r="R480" s="17"/>
      <x:c r="S480" s="14" t="str"/>
      <x:c r="T480" s="14" t="str"/>
      <x:c r="U480" s="19" t="n">
        <x:v>46303</x:v>
      </x:c>
    </x:row>
    <x:row r="481" ht="68" customHeight="1">
      <x:c r="A481" s="14" t="str">
        <x:v>D-95A4969A</x:v>
      </x:c>
      <x:c r="B481" s="14" t="str">
        <x:v>需人工获取</x:v>
      </x:c>
      <x:c r="C481" s="14" t="str">
        <x:v>Correcting for bias in psychology: A comparison of meta-analytic methods</x:v>
      </x:c>
      <x:c r="D481" s="14" t="str">
        <x:v>英文</x:v>
      </x:c>
      <x:c r="E481" s="15" t="str">
        <x:v>未处理</x:v>
      </x:c>
      <x:c r="F481" s="15" t="str"/>
      <x:c r="G481" s="16" t="str">
        <x:v>https://doi.org/10.31234/osf.io/9h3nu</x:v>
      </x:c>
      <x:c r="H481" s="14" t="str">
        <x:v>L03</x:v>
      </x:c>
      <x:c r="I481" s="14" t="str">
        <x:v>Carter, E. C., Schönbrodt, F. D., Gervais, W. M., &amp; Hilgard, J.</x:v>
      </x:c>
      <x:c r="J481" s="18" t="n">
        <x:v>2019</x:v>
      </x:c>
      <x:c r="K481" s="14" t="str">
        <x:v>研究文献</x:v>
      </x:c>
      <x:c r="L481" s="14" t="str">
        <x:v>选读</x:v>
      </x:c>
      <x:c r="M481" s="14" t="str">
        <x:v>未取得全文；页面响应不能证明全文权限。</x:v>
      </x:c>
      <x:c r="N481" s="14" t="str">
        <x:v>从 DOI 或出版社页查看全文；也可使用学校图书馆或作者公开版本。</x:v>
      </x:c>
      <x:c r="O481" s="14" t="str">
        <x:v>**各种校正方法的系统模拟比较**：没有一种在所有条件下都好，因此要多种并报 链接为作者公开稿或工作论文，可能与正式发表版在年份、题名或内容上不同；引用时请核对所用版本。</x:v>
      </x:c>
      <x:c r="P481" s="14" t="str">
        <x:v>10.31234/osf.io/9h3nu</x:v>
      </x:c>
      <x:c r="Q481" s="14" t="str"/>
      <x:c r="R481" s="17"/>
      <x:c r="S481" s="14" t="str"/>
      <x:c r="T481" s="14" t="str"/>
      <x:c r="U481" s="19" t="n">
        <x:v>46303</x:v>
      </x:c>
    </x:row>
    <x:row r="482" ht="68" customHeight="1">
      <x:c r="A482" s="14" t="str">
        <x:v>D-4B3FB8B9</x:v>
      </x:c>
      <x:c r="B482" s="14" t="str">
        <x:v>需人工获取</x:v>
      </x:c>
      <x:c r="C482" s="14" t="str">
        <x:v>Adjusting for publication bias in meta-analysis: An evaluation of selection methods and some cautionary notes</x:v>
      </x:c>
      <x:c r="D482" s="14" t="str">
        <x:v>英文</x:v>
      </x:c>
      <x:c r="E482" s="15" t="str">
        <x:v>未处理</x:v>
      </x:c>
      <x:c r="F482" s="15" t="str"/>
      <x:c r="G482" s="16" t="str">
        <x:v>https://doi.org/10.1177/1745691616662243</x:v>
      </x:c>
      <x:c r="H482" s="14" t="str">
        <x:v>L04</x:v>
      </x:c>
      <x:c r="I482" s="14" t="str">
        <x:v>McShane, B. B., Böckenholt, U., &amp; Hansen, K. T.</x:v>
      </x:c>
      <x:c r="J482" s="18" t="n">
        <x:v>2016</x:v>
      </x:c>
      <x:c r="K482" s="14" t="str">
        <x:v>研究文献</x:v>
      </x:c>
      <x:c r="L482" s="14" t="str">
        <x:v>选读</x:v>
      </x:c>
      <x:c r="M482" s="14" t="str">
        <x:v>未取得全文；页面响应不能证明全文权限。</x:v>
      </x:c>
      <x:c r="N482" s="14" t="str">
        <x:v>从 DOI 或出版社页查看全文；也可使用学校图书馆或作者公开版本。</x:v>
      </x:c>
      <x:c r="O482" s="14" t="str">
        <x:v>选择模型与 p-curve 的比较</x:v>
      </x:c>
      <x:c r="P482" s="14" t="str">
        <x:v>10.1177/1745691616662243</x:v>
      </x:c>
      <x:c r="Q482" s="14" t="str"/>
      <x:c r="R482" s="17"/>
      <x:c r="S482" s="14" t="str"/>
      <x:c r="T482" s="14" t="str"/>
      <x:c r="U482" s="19" t="n">
        <x:v>46303</x:v>
      </x:c>
    </x:row>
    <x:row r="483" ht="68" customHeight="1">
      <x:c r="A483" s="14" t="str">
        <x:v>D-6CFFF521</x:v>
      </x:c>
      <x:c r="B483" s="14" t="str">
        <x:v>需人工获取</x:v>
      </x:c>
      <x:c r="C483" s="14" t="str">
        <x:v>A traveler's guide to the multiverse: Promises, pitfalls, and a framework for the evaluation of analytic decisions</x:v>
      </x:c>
      <x:c r="D483" s="14" t="str">
        <x:v>英文</x:v>
      </x:c>
      <x:c r="E483" s="15" t="str">
        <x:v>未处理</x:v>
      </x:c>
      <x:c r="F483" s="15" t="str"/>
      <x:c r="G483" s="16" t="str">
        <x:v>https://doi.org/10.1177/2515245920954925</x:v>
      </x:c>
      <x:c r="H483" s="14" t="str">
        <x:v>L05</x:v>
      </x:c>
      <x:c r="I483" s="14" t="str">
        <x:v>Del Giudice, M., &amp; Gangestad, S. W.</x:v>
      </x:c>
      <x:c r="J483" s="18" t="n">
        <x:v>2021</x:v>
      </x:c>
      <x:c r="K483" s="14" t="str">
        <x:v>研究文献</x:v>
      </x:c>
      <x:c r="L483" s="14" t="str">
        <x:v>选读</x:v>
      </x:c>
      <x:c r="M483" s="14" t="str">
        <x:v>2026-10-07 重试：来源页访问未完成（curl 22）；可从作者公开稿或学校图书馆继续获取。</x:v>
      </x:c>
      <x:c r="N483" s="14" t="str">
        <x:v>从 DOI 或出版社页查看全文；也可使用学校图书馆或作者公开版本。</x:v>
      </x:c>
      <x:c r="O483" s="14" t="str">
        <x:v>**不是所有设定都同等合理**：把明显更差的设定纳入会稀释结论</x:v>
      </x:c>
      <x:c r="P483" s="14" t="str">
        <x:v>10.1177/2515245920954925</x:v>
      </x:c>
      <x:c r="Q483" s="14" t="str"/>
      <x:c r="R483" s="17"/>
      <x:c r="S483" s="14" t="str"/>
      <x:c r="T483" s="14" t="str"/>
      <x:c r="U483" s="19" t="n">
        <x:v>46303</x:v>
      </x:c>
    </x:row>
    <x:row r="484" ht="68" customHeight="1">
      <x:c r="A484" s="14" t="str">
        <x:v>D-B7BBA963</x:v>
      </x:c>
      <x:c r="B484" s="14" t="str">
        <x:v>需人工获取</x:v>
      </x:c>
      <x:c r="C484" s="14" t="str">
        <x:v>The association between adolescent well-being and digital technology use</x:v>
      </x:c>
      <x:c r="D484" s="14" t="str">
        <x:v>英文</x:v>
      </x:c>
      <x:c r="E484" s="15" t="str">
        <x:v>未处理</x:v>
      </x:c>
      <x:c r="F484" s="15" t="str"/>
      <x:c r="G484" s="16" t="str">
        <x:v>https://doi.org/10.1038/s41562-018-0506-1</x:v>
      </x:c>
      <x:c r="H484" s="14" t="str">
        <x:v>L05</x:v>
      </x:c>
      <x:c r="I484" s="14" t="str">
        <x:v>Orben, A., &amp; Przybylski, A. K.</x:v>
      </x:c>
      <x:c r="J484" s="18" t="n">
        <x:v>2019</x:v>
      </x:c>
      <x:c r="K484" s="14" t="str">
        <x:v>研究文献</x:v>
      </x:c>
      <x:c r="L484" s="14" t="str">
        <x:v>选读</x:v>
      </x:c>
      <x:c r="M484" s="14" t="str">
        <x:v>未取得全文；页面响应不能证明全文权限。</x:v>
      </x:c>
      <x:c r="N484" s="14" t="str">
        <x:v>从 DOI 或出版社页查看全文；也可使用学校图书馆或作者公开版本。</x:v>
      </x:c>
      <x:c r="O484" s="14" t="str">
        <x:v>**设定曲线最著名的应用**：屏幕时间与青少年幸福感的关系随分析选择而剧变</x:v>
      </x:c>
      <x:c r="P484" s="14" t="str">
        <x:v>10.1038/s41562-018-0506-1</x:v>
      </x:c>
      <x:c r="Q484" s="14" t="str"/>
      <x:c r="R484" s="17"/>
      <x:c r="S484" s="14" t="str"/>
      <x:c r="T484" s="14" t="str"/>
      <x:c r="U484" s="19" t="n">
        <x:v>46303</x:v>
      </x:c>
    </x:row>
    <x:row r="485" ht="68" customHeight="1">
      <x:c r="A485" s="14" t="str">
        <x:v>D-91BA4F8D</x:v>
      </x:c>
      <x:c r="B485" s="14" t="str">
        <x:v>需人工获取</x:v>
      </x:c>
      <x:c r="C485" s="14" t="str">
        <x:v>Has the credibility of the social sciences been credibly destroyed? Reanalyzing the 'many analysts, one data set' project</x:v>
      </x:c>
      <x:c r="D485" s="14" t="str">
        <x:v>英文</x:v>
      </x:c>
      <x:c r="E485" s="15" t="str">
        <x:v>未处理</x:v>
      </x:c>
      <x:c r="F485" s="15" t="str"/>
      <x:c r="G485" s="16" t="str">
        <x:v>https://doi.org/10.1177/23780231211024421</x:v>
      </x:c>
      <x:c r="H485" s="14" t="str">
        <x:v>L06</x:v>
      </x:c>
      <x:c r="I485" s="14" t="str">
        <x:v>Auspurg, K., &amp; Brüderl, J.</x:v>
      </x:c>
      <x:c r="J485" s="18" t="n">
        <x:v>2021</x:v>
      </x:c>
      <x:c r="K485" s="14" t="str">
        <x:v>研究文献</x:v>
      </x:c>
      <x:c r="L485" s="14" t="str">
        <x:v>选读</x:v>
      </x:c>
      <x:c r="M485" s="14" t="str">
        <x:v>未取得全文；页面响应不能证明全文权限。</x:v>
      </x:c>
      <x:c r="N485" s="14" t="str">
        <x:v>从 DOI 或出版社页查看全文；也可使用学校图书馆或作者公开版本。</x:v>
      </x:c>
      <x:c r="O485" s="14" t="str">
        <x:v>**反方观点**：部分差异源于分析错误而非正当的判断差异。与原文对读</x:v>
      </x:c>
      <x:c r="P485" s="14" t="str">
        <x:v>10.1177/23780231211024421</x:v>
      </x:c>
      <x:c r="Q485" s="14" t="str"/>
      <x:c r="R485" s="17"/>
      <x:c r="S485" s="14" t="str"/>
      <x:c r="T485" s="14" t="str"/>
      <x:c r="U485" s="19" t="n">
        <x:v>46303</x:v>
      </x:c>
    </x:row>
    <x:row r="486" ht="68" customHeight="1">
      <x:c r="A486" s="14" t="str">
        <x:v>D-C4186D61</x:v>
      </x:c>
      <x:c r="B486" s="14" t="str">
        <x:v>需人工获取</x:v>
      </x:c>
      <x:c r="C486" s="14" t="str">
        <x:v>Observing many researchers using the same data and hypothesis reveals a hidden universe of uncertainty</x:v>
      </x:c>
      <x:c r="D486" s="14" t="str">
        <x:v>英文</x:v>
      </x:c>
      <x:c r="E486" s="15" t="str">
        <x:v>未处理</x:v>
      </x:c>
      <x:c r="F486" s="15" t="str"/>
      <x:c r="G486" s="16" t="str">
        <x:v>https://doi.org/10.1073/pnas.2203150119</x:v>
      </x:c>
      <x:c r="H486" s="14" t="str">
        <x:v>L06</x:v>
      </x:c>
      <x:c r="I486" s="14" t="str">
        <x:v>Breznau</x:v>
      </x:c>
      <x:c r="J486" s="18" t="n">
        <x:v>2022</x:v>
      </x:c>
      <x:c r="K486" s="14" t="str">
        <x:v>文献</x:v>
      </x:c>
      <x:c r="L486" s="14" t="str">
        <x:v>选读</x:v>
      </x:c>
      <x:c r="M486" s="14" t="str">
        <x:v>未取得全文；页面响应不能证明全文权限。</x:v>
      </x:c>
      <x:c r="N486" s="14" t="str">
        <x:v>从 DOI 或出版社页查看全文；也可使用学校图书馆或作者公开版本。</x:v>
      </x:c>
      <x:c r="O486" s="14" t="str">
        <x:v>同一数据与假设的多团队分析案例。</x:v>
      </x:c>
      <x:c r="P486" s="14" t="str">
        <x:v>10.1073/pnas.2203150119</x:v>
      </x:c>
      <x:c r="Q486" s="14" t="str"/>
      <x:c r="R486" s="17"/>
      <x:c r="S486" s="14" t="str"/>
      <x:c r="T486" s="14" t="str"/>
      <x:c r="U486" s="19" t="n">
        <x:v>46303</x:v>
      </x:c>
    </x:row>
    <x:row r="487" ht="68" customHeight="1">
      <x:c r="A487" s="14" t="str">
        <x:v>D-7559084F</x:v>
      </x:c>
      <x:c r="B487" s="14" t="str">
        <x:v>需人工获取</x:v>
      </x:c>
      <x:c r="C487" s="14" t="str">
        <x:v>An excess of positive results: Comparing the standard psychology literature with registered reports</x:v>
      </x:c>
      <x:c r="D487" s="14" t="str">
        <x:v>英文</x:v>
      </x:c>
      <x:c r="E487" s="15" t="str">
        <x:v>未处理</x:v>
      </x:c>
      <x:c r="F487" s="15" t="str"/>
      <x:c r="G487" s="16" t="str">
        <x:v>https://doi.org/10.31234/osf.io/p6e9c</x:v>
      </x:c>
      <x:c r="H487" s="14" t="str">
        <x:v>L07</x:v>
      </x:c>
      <x:c r="I487" s="14" t="str">
        <x:v>Scheel, A. M., Schijen, M. R. M. J., &amp; Lakens, D.</x:v>
      </x:c>
      <x:c r="J487" s="18" t="n">
        <x:v>2021</x:v>
      </x:c>
      <x:c r="K487" s="14" t="str">
        <x:v>研究文献</x:v>
      </x:c>
      <x:c r="L487" s="14" t="str">
        <x:v>选读</x:v>
      </x:c>
      <x:c r="M487" s="14" t="str">
        <x:v>未取得全文；页面响应不能证明全文权限。</x:v>
      </x:c>
      <x:c r="N487" s="14" t="str">
        <x:v>从 DOI 或出版社页查看全文；也可使用学校图书馆或作者公开版本。</x:v>
      </x:c>
      <x:c r="O487" s="14" t="str">
        <x:v>**支持假设的比例从 96% 降到 44%**——发表偏倚存在的最有力证据 链接为作者公开稿或工作论文，可能与正式发表版在年份、题名或内容上不同；引用时请核对所用版本。</x:v>
      </x:c>
      <x:c r="P487" s="14" t="str">
        <x:v>10.31234/osf.io/p6e9c</x:v>
      </x:c>
      <x:c r="Q487" s="14" t="str"/>
      <x:c r="R487" s="17"/>
      <x:c r="S487" s="14" t="str"/>
      <x:c r="T487" s="14" t="str"/>
      <x:c r="U487" s="19" t="n">
        <x:v>46303</x:v>
      </x:c>
    </x:row>
    <x:row r="488" ht="68" customHeight="1">
      <x:c r="A488" s="14" t="str">
        <x:v>D-EC07B28B</x:v>
      </x:c>
      <x:c r="B488" s="14" t="str">
        <x:v>需人工获取</x:v>
      </x:c>
      <x:c r="C488" s="14" t="str">
        <x:v>Comparing dream to reality: An assessment of adherence of the first generation of preregistered studies</x:v>
      </x:c>
      <x:c r="D488" s="14" t="str">
        <x:v>英文</x:v>
      </x:c>
      <x:c r="E488" s="15" t="str">
        <x:v>未处理</x:v>
      </x:c>
      <x:c r="F488" s="15" t="str"/>
      <x:c r="G488" s="16" t="str">
        <x:v>https://doi.org/10.1098/rsos.211037</x:v>
      </x:c>
      <x:c r="H488" s="14" t="str">
        <x:v>L07</x:v>
      </x:c>
      <x:c r="I488" s="14" t="str">
        <x:v>Claesen, A., Gomes, S., Tuerlinckx, F., &amp; Vanpaemel, W.</x:v>
      </x:c>
      <x:c r="J488" s="18" t="n">
        <x:v>2021</x:v>
      </x:c>
      <x:c r="K488" s="14" t="str">
        <x:v>研究文献</x:v>
      </x:c>
      <x:c r="L488" s="14" t="str">
        <x:v>选读</x:v>
      </x:c>
      <x:c r="M488" s="14" t="str">
        <x:v>未取得全文；页面响应不能证明全文权限。</x:v>
      </x:c>
      <x:c r="N488" s="14" t="str">
        <x:v>从 DOI 或出版社页查看全文；也可使用学校图书馆或作者公开版本。</x:v>
      </x:c>
      <x:c r="O488" s="14" t="str">
        <x:v>**实际遵守情况的调查**：大量预注册研究偏离了计划却未说明</x:v>
      </x:c>
      <x:c r="P488" s="14" t="str">
        <x:v>10.1098/rsos.211037</x:v>
      </x:c>
      <x:c r="Q488" s="14" t="str"/>
      <x:c r="R488" s="17"/>
      <x:c r="S488" s="14" t="str"/>
      <x:c r="T488" s="14" t="str"/>
      <x:c r="U488" s="19" t="n">
        <x:v>46303</x:v>
      </x:c>
    </x:row>
    <x:row r="489" ht="68" customHeight="1">
      <x:c r="A489" s="14" t="str">
        <x:v>D-A3A8534D</x:v>
      </x:c>
      <x:c r="B489" s="14" t="str">
        <x:v>需人工获取</x:v>
      </x:c>
      <x:c r="C489" s="14" t="str">
        <x:v>Indirect and mixed-treatment comparison, network meta-analysis, and multiple-treatments meta-analysis: Many names, many benefits, many concerns</x:v>
      </x:c>
      <x:c r="D489" s="14" t="str">
        <x:v>英文</x:v>
      </x:c>
      <x:c r="E489" s="15" t="str">
        <x:v>未处理</x:v>
      </x:c>
      <x:c r="F489" s="15" t="str"/>
      <x:c r="G489" s="16" t="str">
        <x:v>https://doi.org/10.1002/jrsm.1037</x:v>
      </x:c>
      <x:c r="H489" s="14" t="str">
        <x:v>L08</x:v>
      </x:c>
      <x:c r="I489" s="14" t="str">
        <x:v>Salanti, G.</x:v>
      </x:c>
      <x:c r="J489" s="18" t="n">
        <x:v>2012</x:v>
      </x:c>
      <x:c r="K489" s="14" t="str">
        <x:v>研究文献</x:v>
      </x:c>
      <x:c r="L489" s="14" t="str">
        <x:v>选读</x:v>
      </x:c>
      <x:c r="M489" s="14" t="str">
        <x:v>未取得全文；页面响应不能证明全文权限。</x:v>
      </x:c>
      <x:c r="N489" s="14" t="str">
        <x:v>从 DOI 或出版社页查看全文；也可使用学校图书馆或作者公开版本。</x:v>
      </x:c>
      <x:c r="O489" s="14" t="str">
        <x:v>**传递性假设常被忽略但至关重要**</x:v>
      </x:c>
      <x:c r="P489" s="14" t="str">
        <x:v>10.1002/jrsm.1037</x:v>
      </x:c>
      <x:c r="Q489" s="14" t="str"/>
      <x:c r="R489" s="17"/>
      <x:c r="S489" s="14" t="str"/>
      <x:c r="T489" s="14" t="str"/>
      <x:c r="U489" s="19" t="n">
        <x:v>46303</x:v>
      </x:c>
    </x:row>
    <x:row r="490" ht="68" customHeight="1">
      <x:c r="A490" s="14" t="str">
        <x:v>D-09F008DE</x:v>
      </x:c>
      <x:c r="B490" s="14" t="str">
        <x:v>需人工获取</x:v>
      </x:c>
      <x:c r="C490" s="14" t="str">
        <x:v>Multiple imputation of missing data for multilevel models: Simulations and recommendations</x:v>
      </x:c>
      <x:c r="D490" s="14" t="str">
        <x:v>英文</x:v>
      </x:c>
      <x:c r="E490" s="15" t="str">
        <x:v>未处理</x:v>
      </x:c>
      <x:c r="F490" s="15" t="str"/>
      <x:c r="G490" s="16" t="str">
        <x:v>https://doi.org/10.1177/1094428117703686</x:v>
      </x:c>
      <x:c r="H490" s="14" t="str">
        <x:v>N02</x:v>
      </x:c>
      <x:c r="I490" s="14" t="str">
        <x:v>Grund, S., Lüdtke, O., &amp; Robitzsch, A.</x:v>
      </x:c>
      <x:c r="J490" s="18" t="n">
        <x:v>2018</x:v>
      </x:c>
      <x:c r="K490" s="14" t="str">
        <x:v>研究文献</x:v>
      </x:c>
      <x:c r="L490" s="14" t="str">
        <x:v>选读</x:v>
      </x:c>
      <x:c r="M490" s="14" t="str">
        <x:v>未取得全文；页面响应不能证明全文权限。</x:v>
      </x:c>
      <x:c r="N490" s="14" t="str">
        <x:v>从 DOI 或出版社页查看全文；也可使用学校图书馆或作者公开版本。</x:v>
      </x:c>
      <x:c r="O490" s="14" t="str">
        <x:v>**多层数据用普通插补会破坏组间结构**</x:v>
      </x:c>
      <x:c r="P490" s="14" t="str">
        <x:v>10.1177/1094428117703686</x:v>
      </x:c>
      <x:c r="Q490" s="14" t="str"/>
      <x:c r="R490" s="17"/>
      <x:c r="S490" s="14" t="str"/>
      <x:c r="T490" s="14" t="str"/>
      <x:c r="U490" s="19" t="n">
        <x:v>46303</x:v>
      </x:c>
    </x:row>
    <x:row r="491" ht="68" customHeight="1">
      <x:c r="A491" s="14" t="str">
        <x:v>D-8C943608</x:v>
      </x:c>
      <x:c r="B491" s="14" t="str">
        <x:v>在线阅读</x:v>
      </x:c>
      <x:c r="C491" s="14" t="str">
        <x:v>AER · ResumeNames 数据与示例</x:v>
      </x:c>
      <x:c r="D491" s="14" t="str">
        <x:v>英文</x:v>
      </x:c>
      <x:c r="E491" s="15" t="str">
        <x:v>未处理</x:v>
      </x:c>
      <x:c r="F491" s="15" t="str"/>
      <x:c r="G491" s="16" t="str">
        <x:v>https://search.r-project.org/CRAN/refmans/AER/html/ResumeNames.html</x:v>
      </x:c>
      <x:c r="H491" s="14" t="str"/>
      <x:c r="I491" s="14" t="str">
        <x:v>AER R 包维护者</x:v>
      </x:c>
      <x:c r="J491" s="18" t="str"/>
      <x:c r="K491" s="14" t="str">
        <x:v>教学</x:v>
      </x:c>
      <x:c r="L491" s="14" t="str">
        <x:v>选读</x:v>
      </x:c>
      <x:c r="M491" s="14" t="str">
        <x:v>以网页课程、在线章节或项目文档形式提供。</x:v>
      </x:c>
      <x:c r="N491" s="14" t="str">
        <x:v>打开官方入口，使用站点提供的下载功能；网页教程可继续在线使用。</x:v>
      </x:c>
      <x:c r="O491" s="14" t="str">
        <x:v>真实函询实验的教学数据、变量定义与示例。</x:v>
      </x:c>
      <x:c r="P491" s="14" t="str"/>
      <x:c r="Q491" s="14" t="str"/>
      <x:c r="R491" s="17"/>
      <x:c r="S491" s="14" t="str"/>
      <x:c r="T491" s="14" t="str"/>
      <x:c r="U491" s="19" t="n">
        <x:v>46303</x:v>
      </x:c>
    </x:row>
    <x:row r="492" ht="68" customHeight="1">
      <x:c r="A492" s="14" t="str">
        <x:v>D-573F05F1</x:v>
      </x:c>
      <x:c r="B492" s="14" t="str">
        <x:v>在线阅读</x:v>
      </x:c>
      <x:c r="C492" s="14" t="str">
        <x:v>Are Emily and Greg More Employable Than Lakisha and Jamal? A Field Experiment on Labor Market Discrimination</x:v>
      </x:c>
      <x:c r="D492" s="14" t="str">
        <x:v>英文</x:v>
      </x:c>
      <x:c r="E492" s="15" t="str">
        <x:v>未处理</x:v>
      </x:c>
      <x:c r="F492" s="15" t="str"/>
      <x:c r="G492" s="16" t="str">
        <x:v>https://www.aeaweb.org/articles?id=10.1257/0002828042002561</x:v>
      </x:c>
      <x:c r="H492" s="14" t="str"/>
      <x:c r="I492" s="14" t="str">
        <x:v>Bertrand; Mullainathan</x:v>
      </x:c>
      <x:c r="J492" s="18" t="n">
        <x:v>2004</x:v>
      </x:c>
      <x:c r="K492" s="14" t="str">
        <x:v>文献</x:v>
      </x:c>
      <x:c r="L492" s="14" t="str">
        <x:v>选读</x:v>
      </x:c>
      <x:c r="M492" s="14" t="str">
        <x:v>以网页课程、在线章节或项目文档形式提供。</x:v>
      </x:c>
      <x:c r="N492" s="14" t="str">
        <x:v>打开官方入口，使用站点提供的下载功能；网页教程可继续在线使用。</x:v>
      </x:c>
      <x:c r="O492" s="14" t="str">
        <x:v>劳动市场函询实验；识别简历姓名信号对回电的影响。</x:v>
      </x:c>
      <x:c r="P492" s="14" t="str"/>
      <x:c r="Q492" s="14" t="str"/>
      <x:c r="R492" s="17"/>
      <x:c r="S492" s="14" t="str"/>
      <x:c r="T492" s="14" t="str"/>
      <x:c r="U492" s="19" t="n">
        <x:v>46303</x:v>
      </x:c>
    </x:row>
    <x:row r="493" ht="68" customHeight="1">
      <x:c r="A493" s="14" t="str">
        <x:v>D-054B8658</x:v>
      </x:c>
      <x:c r="B493" s="14" t="str">
        <x:v>在线阅读</x:v>
      </x:c>
      <x:c r="C493" s="14" t="str">
        <x:v>Bit by Bit · 第 1 章：Introduction</x:v>
      </x:c>
      <x:c r="D493" s="14" t="str">
        <x:v>英文</x:v>
      </x:c>
      <x:c r="E493" s="15" t="str">
        <x:v>未处理</x:v>
      </x:c>
      <x:c r="F493" s="15" t="str"/>
      <x:c r="G493" s="16" t="str">
        <x:v>https://www.bitbybitbook.com/en/1st-ed/introduction/</x:v>
      </x:c>
      <x:c r="H493" s="14" t="str"/>
      <x:c r="I493" s="14" t="str">
        <x:v>Matthew J. Salganik</x:v>
      </x:c>
      <x:c r="J493" s="18" t="str"/>
      <x:c r="K493" s="14" t="str">
        <x:v>教学</x:v>
      </x:c>
      <x:c r="L493" s="14" t="str">
        <x:v>选读</x:v>
      </x:c>
      <x:c r="M493" s="14" t="str">
        <x:v>以网页课程、在线章节或项目文档形式提供。</x:v>
      </x:c>
      <x:c r="N493" s="14" t="str">
        <x:v>打开官方入口，使用站点提供的下载功能；网页教程可继续在线使用。</x:v>
      </x:c>
      <x:c r="O493" s="14" t="str">
        <x:v>理解观察、提问、实验与协作如何在数字时代衔接。</x:v>
      </x:c>
      <x:c r="P493" s="14" t="str"/>
      <x:c r="Q493" s="14" t="str"/>
      <x:c r="R493" s="17"/>
      <x:c r="S493" s="14" t="str"/>
      <x:c r="T493" s="14" t="str"/>
      <x:c r="U493" s="19" t="n">
        <x:v>46303</x:v>
      </x:c>
    </x:row>
    <x:row r="494" ht="68" customHeight="1">
      <x:c r="A494" s="14" t="str">
        <x:v>D-D8D4B364</x:v>
      </x:c>
      <x:c r="B494" s="14" t="str">
        <x:v>在线阅读</x:v>
      </x:c>
      <x:c r="C494" s="14" t="str">
        <x:v>Causal Inference · The Remix（原 Mixtape）· DiD Fundamentals</x:v>
      </x:c>
      <x:c r="D494" s="14" t="str">
        <x:v>英文</x:v>
      </x:c>
      <x:c r="E494" s="15" t="str">
        <x:v>未处理</x:v>
      </x:c>
      <x:c r="F494" s="15" t="str"/>
      <x:c r="G494" s="16" t="str">
        <x:v>https://mixtape.scunning.com/09-difference_in_differences</x:v>
      </x:c>
      <x:c r="H494" s="14" t="str"/>
      <x:c r="I494" s="14" t="str">
        <x:v>Scott Cunningham</x:v>
      </x:c>
      <x:c r="J494" s="18" t="str"/>
      <x:c r="K494" s="14" t="str">
        <x:v>教学</x:v>
      </x:c>
      <x:c r="L494" s="14" t="str">
        <x:v>选读</x:v>
      </x:c>
      <x:c r="M494" s="14" t="str">
        <x:v>以网页课程、在线章节或项目文档形式提供。</x:v>
      </x:c>
      <x:c r="N494" s="14" t="str">
        <x:v>打开官方入口，使用站点提供的下载功能；网页教程可继续在线使用。</x:v>
      </x:c>
      <x:c r="O494" s="14" t="str">
        <x:v>比较前后×组间的反事实逻辑，再读现代异质性修正。</x:v>
      </x:c>
      <x:c r="P494" s="14" t="str"/>
      <x:c r="Q494" s="14" t="str"/>
      <x:c r="R494" s="17"/>
      <x:c r="S494" s="14" t="str"/>
      <x:c r="T494" s="14" t="str"/>
      <x:c r="U494" s="19" t="n">
        <x:v>46303</x:v>
      </x:c>
    </x:row>
    <x:row r="495" ht="68" customHeight="1">
      <x:c r="A495" s="14" t="str">
        <x:v>D-5ED7AC7C</x:v>
      </x:c>
      <x:c r="B495" s="14" t="str">
        <x:v>在线阅读</x:v>
      </x:c>
      <x:c r="C495" s="14" t="str">
        <x:v>Causal inference on human behaviour</x:v>
      </x:c>
      <x:c r="D495" s="14" t="str">
        <x:v>英文</x:v>
      </x:c>
      <x:c r="E495" s="15" t="str">
        <x:v>未处理</x:v>
      </x:c>
      <x:c r="F495" s="15" t="str"/>
      <x:c r="G495" s="16" t="str">
        <x:v>https://www.nature.com/articles/s41562-024-01939-z</x:v>
      </x:c>
      <x:c r="H495" s="14" t="str"/>
      <x:c r="I495" s="14" t="str">
        <x:v>Bailey</x:v>
      </x:c>
      <x:c r="J495" s="18" t="n">
        <x:v>2024</x:v>
      </x:c>
      <x:c r="K495" s="14" t="str">
        <x:v>文献</x:v>
      </x:c>
      <x:c r="L495" s="14" t="str">
        <x:v>选读</x:v>
      </x:c>
      <x:c r="M495" s="14" t="str">
        <x:v>以网页课程、在线章节或项目文档形式提供。</x:v>
      </x:c>
      <x:c r="N495" s="14" t="str">
        <x:v>打开官方入口，使用站点提供的下载功能；网页教程可继续在线使用。</x:v>
      </x:c>
      <x:c r="O495" s="14" t="str">
        <x:v>心理学与行为科学语境中的因果目标和研究设计。</x:v>
      </x:c>
      <x:c r="P495" s="14" t="str"/>
      <x:c r="Q495" s="14" t="str"/>
      <x:c r="R495" s="17"/>
      <x:c r="S495" s="14" t="str"/>
      <x:c r="T495" s="14" t="str"/>
      <x:c r="U495" s="19" t="n">
        <x:v>46303</x:v>
      </x:c>
    </x:row>
    <x:row r="496" ht="68" customHeight="1">
      <x:c r="A496" s="14" t="str">
        <x:v>D-1686B12A</x:v>
      </x:c>
      <x:c r="B496" s="14" t="str">
        <x:v>在线阅读</x:v>
      </x:c>
      <x:c r="C496" s="14" t="str">
        <x:v>Quantifying the prevalence and impact of overreaching causal claims in social science</x:v>
      </x:c>
      <x:c r="D496" s="14" t="str">
        <x:v>英文</x:v>
      </x:c>
      <x:c r="E496" s="15" t="str">
        <x:v>未处理</x:v>
      </x:c>
      <x:c r="F496" s="15" t="str"/>
      <x:c r="G496" s="16" t="str">
        <x:v>https://www.nature.com/articles/s41562-026-02553-x</x:v>
      </x:c>
      <x:c r="H496" s="14" t="str"/>
      <x:c r="I496" s="14" t="str">
        <x:v>Isch; Dörr; Fasching; Jennings; Watts</x:v>
      </x:c>
      <x:c r="J496" s="18" t="n">
        <x:v>2026</x:v>
      </x:c>
      <x:c r="K496" s="14" t="str">
        <x:v>文献</x:v>
      </x:c>
      <x:c r="L496" s="14" t="str">
        <x:v>选读</x:v>
      </x:c>
      <x:c r="M496" s="14" t="str">
        <x:v>以网页课程、在线章节或项目文档形式提供。</x:v>
      </x:c>
      <x:c r="N496" s="14" t="str">
        <x:v>打开官方入口，使用站点提供的下载功能；网页教程可继续在线使用。</x:v>
      </x:c>
      <x:c r="O496" s="14" t="str">
        <x:v>2026 年研究：因果语言与横截面证据之间的错位。</x:v>
      </x:c>
      <x:c r="P496" s="14" t="str"/>
      <x:c r="Q496" s="14" t="str"/>
      <x:c r="R496" s="17"/>
      <x:c r="S496" s="14" t="str"/>
      <x:c r="T496" s="14" t="str"/>
      <x:c r="U496" s="19" t="n">
        <x:v>46303</x:v>
      </x:c>
    </x:row>
    <x:row r="497" ht="68" customHeight="1">
      <x:c r="A497" s="14" t="str">
        <x:v>D-362E8BFC</x:v>
      </x:c>
      <x:c r="B497" s="14" t="str">
        <x:v>在线阅读</x:v>
      </x:c>
      <x:c r="C497" s="14" t="str">
        <x:v>Taking the Dogma out of Econometrics: Structural Modeling and Credible Inference</x:v>
      </x:c>
      <x:c r="D497" s="14" t="str">
        <x:v>英文</x:v>
      </x:c>
      <x:c r="E497" s="15" t="str">
        <x:v>未处理</x:v>
      </x:c>
      <x:c r="F497" s="15" t="str"/>
      <x:c r="G497" s="16" t="str">
        <x:v>https://www.aeaweb.org/articles?id=10.1257/jep.24.2.69</x:v>
      </x:c>
      <x:c r="H497" s="14" t="str"/>
      <x:c r="I497" s="14" t="str">
        <x:v>Nevo; Whinston</x:v>
      </x:c>
      <x:c r="J497" s="18" t="n">
        <x:v>2010</x:v>
      </x:c>
      <x:c r="K497" s="14" t="str">
        <x:v>文献</x:v>
      </x:c>
      <x:c r="L497" s="14" t="str">
        <x:v>选读</x:v>
      </x:c>
      <x:c r="M497" s="14" t="str">
        <x:v>以网页课程、在线章节或项目文档形式提供。</x:v>
      </x:c>
      <x:c r="N497" s="14" t="str">
        <x:v>打开官方入口，使用站点提供的下载功能；网页教程可继续在线使用。</x:v>
      </x:c>
      <x:c r="O497" s="14" t="str">
        <x:v>与设计取向对读：结构模型、机制与政策反事实仍有独立任务。</x:v>
      </x:c>
      <x:c r="P497" s="14" t="str"/>
      <x:c r="Q497" s="14" t="str"/>
      <x:c r="R497" s="17"/>
      <x:c r="S497" s="14" t="str"/>
      <x:c r="T497" s="14" t="str"/>
      <x:c r="U497" s="19" t="n">
        <x:v>46303</x:v>
      </x:c>
    </x:row>
    <x:row r="498" ht="68" customHeight="1">
      <x:c r="A498" s="14" t="str">
        <x:v>D-B0D09BBA</x:v>
      </x:c>
      <x:c r="B498" s="14" t="str">
        <x:v>在线阅读</x:v>
      </x:c>
      <x:c r="C498" s="14" t="str">
        <x:v>The Effects of Exposure to Better Neighborhoods on Children: New Evidence from the Moving to Opportunity Experiment</x:v>
      </x:c>
      <x:c r="D498" s="14" t="str">
        <x:v>英文</x:v>
      </x:c>
      <x:c r="E498" s="15" t="str">
        <x:v>未处理</x:v>
      </x:c>
      <x:c r="F498" s="15" t="str"/>
      <x:c r="G498" s="16" t="str">
        <x:v>https://www.aeaweb.org/articles?id=10.1257/aer.20150572</x:v>
      </x:c>
      <x:c r="H498" s="14" t="str"/>
      <x:c r="I498" s="14" t="str">
        <x:v>Chetty; Hendren; Katz</x:v>
      </x:c>
      <x:c r="J498" s="18" t="n">
        <x:v>2016</x:v>
      </x:c>
      <x:c r="K498" s="14" t="str">
        <x:v>文献</x:v>
      </x:c>
      <x:c r="L498" s="14" t="str">
        <x:v>选读</x:v>
      </x:c>
      <x:c r="M498" s="14" t="str">
        <x:v>以网页课程、在线章节或项目文档形式提供。</x:v>
      </x:c>
      <x:c r="N498" s="14" t="str">
        <x:v>打开官方入口，使用站点提供的下载功能；网页教程可继续在线使用。</x:v>
      </x:c>
      <x:c r="O498" s="14" t="str">
        <x:v>随机住房搬迁机会、行政数据链接和儿童长期结果。</x:v>
      </x:c>
      <x:c r="P498" s="14" t="str"/>
      <x:c r="Q498" s="14" t="str"/>
      <x:c r="R498" s="17"/>
      <x:c r="S498" s="14" t="str"/>
      <x:c r="T498" s="14" t="str"/>
      <x:c r="U498" s="19" t="n">
        <x:v>46303</x:v>
      </x:c>
    </x:row>
    <x:row r="499" ht="68" customHeight="1">
      <x:c r="A499" s="14" t="str">
        <x:v>D-AEEC1372</x:v>
      </x:c>
      <x:c r="B499" s="14" t="str">
        <x:v>在线阅读</x:v>
      </x:c>
      <x:c r="C499" s="14" t="str">
        <x:v>From Data to Viz（图形选择决策树）</x:v>
      </x:c>
      <x:c r="D499" s="14" t="str">
        <x:v>英文</x:v>
      </x:c>
      <x:c r="E499" s="15" t="str">
        <x:v>未处理</x:v>
      </x:c>
      <x:c r="F499" s="15" t="str"/>
      <x:c r="G499" s="16" t="str">
        <x:v>https://www.data-to-viz.com/</x:v>
      </x:c>
      <x:c r="H499" s="14" t="str">
        <x:v>A01</x:v>
      </x:c>
      <x:c r="I499" s="14" t="str">
        <x:v>方法/软件项目</x:v>
      </x:c>
      <x:c r="J499" s="18" t="str"/>
      <x:c r="K499" s="14" t="str">
        <x:v>教材 / 说明书 / 网页</x:v>
      </x:c>
      <x:c r="L499" s="14" t="str">
        <x:v>选读</x:v>
      </x:c>
      <x:c r="M499" s="14" t="str">
        <x:v>以网页课程、在线章节或项目文档形式提供。</x:v>
      </x:c>
      <x:c r="N499" s="14" t="str">
        <x:v>打开官方入口，使用站点提供的下载功能；网页教程可继续在线使用。</x:v>
      </x:c>
      <x:c r="O499" s="14" t="str">
        <x:v>本条目的方法说明、参数、示例或诊断入口。</x:v>
      </x:c>
      <x:c r="P499" s="14" t="str"/>
      <x:c r="Q499" s="14" t="str"/>
      <x:c r="R499" s="17"/>
      <x:c r="S499" s="14" t="str"/>
      <x:c r="T499" s="14" t="str"/>
      <x:c r="U499" s="19" t="n">
        <x:v>46303</x:v>
      </x:c>
    </x:row>
    <x:row r="500" ht="68" customHeight="1">
      <x:c r="A500" s="14" t="str">
        <x:v>D-2E389A36</x:v>
      </x:c>
      <x:c r="B500" s="14" t="str">
        <x:v>在线阅读</x:v>
      </x:c>
      <x:c r="C500" s="14" t="str">
        <x:v>R语言教程 · 24 数据汇总</x:v>
      </x:c>
      <x:c r="D500" s="14" t="str">
        <x:v>中文</x:v>
      </x:c>
      <x:c r="E500" s="15" t="str">
        <x:v>未处理</x:v>
      </x:c>
      <x:c r="F500" s="15" t="str"/>
      <x:c r="G500" s="16" t="str">
        <x:v>https://math.pku.edu.cn/teachers/lidf/docs/Rbook/html/_Rbook/summary-summ.html</x:v>
      </x:c>
      <x:c r="H500" s="14" t="str">
        <x:v>A01</x:v>
      </x:c>
      <x:c r="I500" s="14" t="str">
        <x:v>李东风 · 北京大学</x:v>
      </x:c>
      <x:c r="J500" s="18" t="str"/>
      <x:c r="K500" s="14" t="str">
        <x:v>教材 / 说明书 / 网页</x:v>
      </x:c>
      <x:c r="L500" s="14" t="str">
        <x:v>选读</x:v>
      </x:c>
      <x:c r="M500" s="14" t="str">
        <x:v>以网页课程、在线章节或项目文档形式提供。</x:v>
      </x:c>
      <x:c r="N500" s="14" t="str">
        <x:v>打开官方入口，使用站点提供的下载功能；网页教程可继续在线使用。</x:v>
      </x:c>
      <x:c r="O500" s="14" t="str">
        <x:v>作者课程讲义，含 R 示例与章节练习。</x:v>
      </x:c>
      <x:c r="P500" s="14" t="str"/>
      <x:c r="Q500" s="14" t="str"/>
      <x:c r="R500" s="17"/>
      <x:c r="S500" s="14" t="str"/>
      <x:c r="T500" s="14" t="str"/>
      <x:c r="U500" s="19" t="n">
        <x:v>46303</x:v>
      </x:c>
    </x:row>
    <x:row r="501" ht="68" customHeight="1">
      <x:c r="A501" s="14" t="str">
        <x:v>D-F967DF43</x:v>
      </x:c>
      <x:c r="B501" s="14" t="str">
        <x:v>在线阅读</x:v>
      </x:c>
      <x:c r="C501" s="14" t="str">
        <x:v>统计计算 · 3 概括统计量</x:v>
      </x:c>
      <x:c r="D501" s="14" t="str">
        <x:v>中文</x:v>
      </x:c>
      <x:c r="E501" s="15" t="str">
        <x:v>未处理</x:v>
      </x:c>
      <x:c r="F501" s="15" t="str"/>
      <x:c r="G501" s="16" t="str">
        <x:v>https://math.pku.edu.cn/teachers/lidf/docs/statcomp/html/_statcompbook/intro-summary.html</x:v>
      </x:c>
      <x:c r="H501" s="14" t="str">
        <x:v>A01</x:v>
      </x:c>
      <x:c r="I501" s="14" t="str">
        <x:v>李东风 · 北京大学</x:v>
      </x:c>
      <x:c r="J501" s="18" t="str"/>
      <x:c r="K501" s="14" t="str">
        <x:v>教材 / 说明书 / 网页</x:v>
      </x:c>
      <x:c r="L501" s="14" t="str">
        <x:v>选读</x:v>
      </x:c>
      <x:c r="M501" s="14" t="str">
        <x:v>以网页课程、在线章节或项目文档形式提供。</x:v>
      </x:c>
      <x:c r="N501" s="14" t="str">
        <x:v>打开官方入口，使用站点提供的下载功能；网页教程可继续在线使用。</x:v>
      </x:c>
      <x:c r="O501" s="14" t="str">
        <x:v>作者公开讲义：算法、推导与 R 计算。</x:v>
      </x:c>
      <x:c r="P501" s="14" t="str"/>
      <x:c r="Q501" s="14" t="str"/>
      <x:c r="R501" s="17"/>
      <x:c r="S501" s="14" t="str"/>
      <x:c r="T501" s="14" t="str"/>
      <x:c r="U501" s="19" t="n">
        <x:v>46303</x:v>
      </x:c>
    </x:row>
    <x:row r="502" ht="68" customHeight="1">
      <x:c r="A502" s="14" t="str">
        <x:v>D-C4E8D5CF</x:v>
      </x:c>
      <x:c r="B502" s="14" t="str">
        <x:v>在线阅读</x:v>
      </x:c>
      <x:c r="C502" s="14" t="str">
        <x:v>NIST/SEMATECH e-Handbook</x:v>
      </x:c>
      <x:c r="D502" s="14" t="str">
        <x:v>英文</x:v>
      </x:c>
      <x:c r="E502" s="15" t="str">
        <x:v>未处理</x:v>
      </x:c>
      <x:c r="F502" s="15" t="str"/>
      <x:c r="G502" s="16" t="str">
        <x:v>https://www.itl.nist.gov/div898/handbook/index2.htm</x:v>
      </x:c>
      <x:c r="H502" s="14" t="str">
        <x:v>A01；A02；A03；A04；A05；A06；A07；A08；A09；A10；A11；A12；A13</x:v>
      </x:c>
      <x:c r="I502" s="14" t="str">
        <x:v>NIST</x:v>
      </x:c>
      <x:c r="J502" s="18" t="str"/>
      <x:c r="K502" s="14" t="str">
        <x:v>教材 / 说明书 / 网页</x:v>
      </x:c>
      <x:c r="L502" s="14" t="str">
        <x:v>选读</x:v>
      </x:c>
      <x:c r="M502" s="14" t="str">
        <x:v>以网页课程、在线章节或项目文档形式提供。</x:v>
      </x:c>
      <x:c r="N502" s="14" t="str">
        <x:v>打开官方入口，使用站点提供的下载功能；网页教程可继续在线使用。</x:v>
      </x:c>
      <x:c r="O502" s="14" t="str">
        <x:v>分布、估计、检验、图形与诊断的权威查阅入口。</x:v>
      </x:c>
      <x:c r="P502" s="14" t="str"/>
      <x:c r="Q502" s="14" t="str"/>
      <x:c r="R502" s="17"/>
      <x:c r="S502" s="14" t="str"/>
      <x:c r="T502" s="14" t="str"/>
      <x:c r="U502" s="19" t="n">
        <x:v>46303</x:v>
      </x:c>
    </x:row>
    <x:row r="503" ht="68" customHeight="1">
      <x:c r="A503" s="14" t="str">
        <x:v>D-7F64BC5B</x:v>
      </x:c>
      <x:c r="B503" s="14" t="str">
        <x:v>在线阅读</x:v>
      </x:c>
      <x:c r="C503" s="14" t="str">
        <x:v>STAT 200: Elementary Statistics</x:v>
      </x:c>
      <x:c r="D503" s="14" t="str">
        <x:v>英文</x:v>
      </x:c>
      <x:c r="E503" s="15" t="str">
        <x:v>未处理</x:v>
      </x:c>
      <x:c r="F503" s="15" t="str"/>
      <x:c r="G503" s="16" t="str">
        <x:v>https://online.stat.psu.edu/stat200/</x:v>
      </x:c>
      <x:c r="H503" s="14" t="str">
        <x:v>A01；A02；A03；A04；A05；A06；A07；A08；A09；A10；A11；A12；A13</x:v>
      </x:c>
      <x:c r="I503" s="14" t="str">
        <x:v>Penn State Statistics</x:v>
      </x:c>
      <x:c r="J503" s="18" t="str"/>
      <x:c r="K503" s="14" t="str">
        <x:v>教材 / 说明书 / 网页</x:v>
      </x:c>
      <x:c r="L503" s="14" t="str">
        <x:v>选读</x:v>
      </x:c>
      <x:c r="M503" s="14" t="str">
        <x:v>以网页课程、在线章节或项目文档形式提供。</x:v>
      </x:c>
      <x:c r="N503" s="14" t="str">
        <x:v>打开官方入口，使用站点提供的下载功能；网页教程可继续在线使用。</x:v>
      </x:c>
      <x:c r="O503" s="14" t="str">
        <x:v>从数据描述到统计推断的开放课程笔记和练习。</x:v>
      </x:c>
      <x:c r="P503" s="14" t="str"/>
      <x:c r="Q503" s="14" t="str"/>
      <x:c r="R503" s="17"/>
      <x:c r="S503" s="14" t="str"/>
      <x:c r="T503" s="14" t="str"/>
      <x:c r="U503" s="19" t="n">
        <x:v>46303</x:v>
      </x:c>
    </x:row>
    <x:row r="504" ht="68" customHeight="1">
      <x:c r="A504" s="14" t="str">
        <x:v>D-3A8D8650</x:v>
      </x:c>
      <x:c r="B504" s="14" t="str">
        <x:v>在线阅读</x:v>
      </x:c>
      <x:c r="C504" s="14" t="str">
        <x:v>Statistical Inferences</x:v>
      </x:c>
      <x:c r="D504" s="14" t="str">
        <x:v>英文</x:v>
      </x:c>
      <x:c r="E504" s="15" t="str">
        <x:v>未处理</x:v>
      </x:c>
      <x:c r="F504" s="15" t="str"/>
      <x:c r="G504" s="16" t="str">
        <x:v>https://lakens.github.io/statistical_inferences/</x:v>
      </x:c>
      <x:c r="H504" s="14" t="str">
        <x:v>A01；A02；A03；A04；A05；A06；A07；A08；A09；A10；A11；A12；A13</x:v>
      </x:c>
      <x:c r="I504" s="14" t="str">
        <x:v>Daniel Lakens</x:v>
      </x:c>
      <x:c r="J504" s="18" t="str"/>
      <x:c r="K504" s="14" t="str">
        <x:v>教材 / 说明书 / 网页</x:v>
      </x:c>
      <x:c r="L504" s="14" t="str">
        <x:v>选读</x:v>
      </x:c>
      <x:c r="M504" s="14" t="str">
        <x:v>以网页课程、在线章节或项目文档形式提供。</x:v>
      </x:c>
      <x:c r="N504" s="14" t="str">
        <x:v>打开官方入口，使用站点提供的下载功能；网页教程可继续在线使用。</x:v>
      </x:c>
      <x:c r="O504" s="14" t="str">
        <x:v>检验、效应量、检验力、等效检验与模拟练习。</x:v>
      </x:c>
      <x:c r="P504" s="14" t="str"/>
      <x:c r="Q504" s="14" t="str"/>
      <x:c r="R504" s="17"/>
      <x:c r="S504" s="14" t="str"/>
      <x:c r="T504" s="14" t="str"/>
      <x:c r="U504" s="19" t="n">
        <x:v>46303</x:v>
      </x:c>
    </x:row>
    <x:row r="505" ht="68" customHeight="1">
      <x:c r="A505" s="14" t="str">
        <x:v>D-DEA280FF</x:v>
      </x:c>
      <x:c r="B505" s="14" t="str">
        <x:v>在线阅读</x:v>
      </x:c>
      <x:c r="C505" s="14" t="str">
        <x:v>OpenIntro Statistics</x:v>
      </x:c>
      <x:c r="D505" s="14" t="str">
        <x:v>英文</x:v>
      </x:c>
      <x:c r="E505" s="15" t="str">
        <x:v>未处理</x:v>
      </x:c>
      <x:c r="F505" s="15" t="str"/>
      <x:c r="G505" s="16" t="str">
        <x:v>https://www.openintro.org/book/os/</x:v>
      </x:c>
      <x:c r="H505" s="14" t="str">
        <x:v>A01；A02；A03；A04；A05；A06；A07；A08；A09；A10；A11；A12；A13；C01；C02；C03；C04；C05；C06；C07；C08；C09；C10；D01；D02；D03；D04；D05；D06；D07；D08；D09</x:v>
      </x:c>
      <x:c r="I505" s="14" t="str">
        <x:v>OpenIntro</x:v>
      </x:c>
      <x:c r="J505" s="18" t="str"/>
      <x:c r="K505" s="14" t="str">
        <x:v>教材 / 说明书 / 网页</x:v>
      </x:c>
      <x:c r="L505" s="14" t="str">
        <x:v>选读</x:v>
      </x:c>
      <x:c r="M505" s="14" t="str">
        <x:v>以网页课程、在线章节或项目文档形式提供。</x:v>
      </x:c>
      <x:c r="N505" s="14" t="str">
        <x:v>打开官方入口，使用站点提供的下载功能；网页教程可继续在线使用。</x:v>
      </x:c>
      <x:c r="O505" s="14" t="str">
        <x:v>描述统计、抽样、置信区间、检验、回归；提供免费教材、视频和实验。</x:v>
      </x:c>
      <x:c r="P505" s="14" t="str"/>
      <x:c r="Q505" s="14" t="str"/>
      <x:c r="R505" s="17"/>
      <x:c r="S505" s="14" t="str"/>
      <x:c r="T505" s="14" t="str"/>
      <x:c r="U505" s="19" t="n">
        <x:v>46303</x:v>
      </x:c>
    </x:row>
    <x:row r="506" ht="68" customHeight="1">
      <x:c r="A506" s="14" t="str">
        <x:v>D-9AE3D5AC</x:v>
      </x:c>
      <x:c r="B506" s="14" t="str">
        <x:v>在线阅读</x:v>
      </x:c>
      <x:c r="C506" s="14" t="str">
        <x:v>psych 包 · 官方文档与功能入口</x:v>
      </x:c>
      <x:c r="D506" s="14" t="str">
        <x:v>英文</x:v>
      </x:c>
      <x:c r="E506" s="15" t="str">
        <x:v>未处理</x:v>
      </x:c>
      <x:c r="F506" s="15" t="str"/>
      <x:c r="G506" s="16" t="str">
        <x:v>https://personality-project.org/r/psych/</x:v>
      </x:c>
      <x:c r="H506" s="14" t="str">
        <x:v>A01；B01；B02；B03；B04；B05；B06；B07；B08；B09；B10；B11；B12；B13；B14；B15；B16；B17；B18；D01；I02</x:v>
      </x:c>
      <x:c r="I506" s="14" t="str">
        <x:v>方法/软件项目</x:v>
      </x:c>
      <x:c r="J506" s="18" t="str"/>
      <x:c r="K506" s="14" t="str">
        <x:v>教材 / 说明书 / 网页</x:v>
      </x:c>
      <x:c r="L506" s="14" t="str">
        <x:v>选读</x:v>
      </x:c>
      <x:c r="M506" s="14" t="str">
        <x:v>以网页课程、在线章节或项目文档形式提供。</x:v>
      </x:c>
      <x:c r="N506" s="14" t="str">
        <x:v>打开官方入口，使用站点提供的下载功能；网页教程可继续在线使用。</x:v>
      </x:c>
      <x:c r="O506" s="14" t="str">
        <x:v>本条目的方法说明、参数、示例或诊断入口。</x:v>
      </x:c>
      <x:c r="P506" s="14" t="str"/>
      <x:c r="Q506" s="14" t="str"/>
      <x:c r="R506" s="17"/>
      <x:c r="S506" s="14" t="str"/>
      <x:c r="T506" s="14" t="str"/>
      <x:c r="U506" s="19" t="n">
        <x:v>46303</x:v>
      </x:c>
    </x:row>
    <x:row r="507" ht="68" customHeight="1">
      <x:c r="A507" s="14" t="str">
        <x:v>D-73C2033D</x:v>
      </x:c>
      <x:c r="B507" s="14" t="str">
        <x:v>在线阅读</x:v>
      </x:c>
      <x:c r="C507" s="14" t="str">
        <x:v>R语言教程 · 30 R初等统计分析</x:v>
      </x:c>
      <x:c r="D507" s="14" t="str">
        <x:v>中文</x:v>
      </x:c>
      <x:c r="E507" s="15" t="str">
        <x:v>未处理</x:v>
      </x:c>
      <x:c r="F507" s="15" t="str"/>
      <x:c r="G507" s="16" t="str">
        <x:v>https://math.pku.edu.cn/teachers/lidf/docs/Rbook/html/_Rbook/stat-basics.html</x:v>
      </x:c>
      <x:c r="H507" s="14" t="str">
        <x:v>A02；A03；A04；A05；A07；A08；A11；A12；A13；C01；M02；M08；M09；M10；M11；M12；M13；M16</x:v>
      </x:c>
      <x:c r="I507" s="14" t="str">
        <x:v>李东风 · 北京大学</x:v>
      </x:c>
      <x:c r="J507" s="18" t="str"/>
      <x:c r="K507" s="14" t="str">
        <x:v>教材 / 说明书 / 网页</x:v>
      </x:c>
      <x:c r="L507" s="14" t="str">
        <x:v>选读</x:v>
      </x:c>
      <x:c r="M507" s="14" t="str">
        <x:v>以网页课程、在线章节或项目文档形式提供。</x:v>
      </x:c>
      <x:c r="N507" s="14" t="str">
        <x:v>打开官方入口，使用站点提供的下载功能；网页教程可继续在线使用。</x:v>
      </x:c>
      <x:c r="O507" s="14" t="str">
        <x:v>作者课程讲义，含 R 示例与章节练习。</x:v>
      </x:c>
      <x:c r="P507" s="14" t="str"/>
      <x:c r="Q507" s="14" t="str"/>
      <x:c r="R507" s="17"/>
      <x:c r="S507" s="14" t="str"/>
      <x:c r="T507" s="14" t="str"/>
      <x:c r="U507" s="19" t="n">
        <x:v>46303</x:v>
      </x:c>
    </x:row>
    <x:row r="508" ht="68" customHeight="1">
      <x:c r="A508" s="14" t="str">
        <x:v>D-69DF6AAE</x:v>
      </x:c>
      <x:c r="B508" s="14" t="str">
        <x:v>在线阅读</x:v>
      </x:c>
      <x:c r="C508" s="14" t="str">
        <x:v>effectsize 包（标准化与效应量转换）</x:v>
      </x:c>
      <x:c r="D508" s="14" t="str">
        <x:v>英文</x:v>
      </x:c>
      <x:c r="E508" s="15" t="str">
        <x:v>未处理</x:v>
      </x:c>
      <x:c r="F508" s="15" t="str"/>
      <x:c r="G508" s="16" t="str">
        <x:v>https://easystats.github.io/effectsize/</x:v>
      </x:c>
      <x:c r="H508" s="14" t="str">
        <x:v>A02；A05；C01</x:v>
      </x:c>
      <x:c r="I508" s="14" t="str">
        <x:v>方法/软件项目</x:v>
      </x:c>
      <x:c r="J508" s="18" t="str"/>
      <x:c r="K508" s="14" t="str">
        <x:v>教材 / 说明书 / 网页</x:v>
      </x:c>
      <x:c r="L508" s="14" t="str">
        <x:v>选读</x:v>
      </x:c>
      <x:c r="M508" s="14" t="str">
        <x:v>以网页课程、在线章节或项目文档形式提供。</x:v>
      </x:c>
      <x:c r="N508" s="14" t="str">
        <x:v>打开官方入口，使用站点提供的下载功能；网页教程可继续在线使用。</x:v>
      </x:c>
      <x:c r="O508" s="14" t="str">
        <x:v>本条目的方法说明、参数、示例或诊断入口。</x:v>
      </x:c>
      <x:c r="P508" s="14" t="str"/>
      <x:c r="Q508" s="14" t="str"/>
      <x:c r="R508" s="17"/>
      <x:c r="S508" s="14" t="str"/>
      <x:c r="T508" s="14" t="str"/>
      <x:c r="U508" s="19" t="n">
        <x:v>46303</x:v>
      </x:c>
    </x:row>
    <x:row r="509" ht="68" customHeight="1">
      <x:c r="A509" s="14" t="str">
        <x:v>D-46AA941C</x:v>
      </x:c>
      <x:c r="B509" s="14" t="str">
        <x:v>在线阅读</x:v>
      </x:c>
      <x:c r="C509" s="14" t="str">
        <x:v>esci / MBESS（效应量置信区间）</x:v>
      </x:c>
      <x:c r="D509" s="14" t="str">
        <x:v>英文</x:v>
      </x:c>
      <x:c r="E509" s="15" t="str">
        <x:v>未处理</x:v>
      </x:c>
      <x:c r="F509" s="15" t="str"/>
      <x:c r="G509" s="16" t="str">
        <x:v>https://cran.r-project.org/package=MBESS</x:v>
      </x:c>
      <x:c r="H509" s="14" t="str">
        <x:v>A04</x:v>
      </x:c>
      <x:c r="I509" s="14" t="str">
        <x:v>方法/软件项目</x:v>
      </x:c>
      <x:c r="J509" s="18" t="str"/>
      <x:c r="K509" s="14" t="str">
        <x:v>教材 / 说明书 / 网页</x:v>
      </x:c>
      <x:c r="L509" s="14" t="str">
        <x:v>选读</x:v>
      </x:c>
      <x:c r="M509" s="14" t="str">
        <x:v>以网页课程、在线章节或项目文档形式提供。</x:v>
      </x:c>
      <x:c r="N509" s="14" t="str">
        <x:v>打开官方入口，使用站点提供的下载功能；网页教程可继续在线使用。</x:v>
      </x:c>
      <x:c r="O509" s="14" t="str">
        <x:v>本条目的方法说明、参数、示例或诊断入口。</x:v>
      </x:c>
      <x:c r="P509" s="14" t="str"/>
      <x:c r="Q509" s="14" t="str"/>
      <x:c r="R509" s="17"/>
      <x:c r="S509" s="14" t="str"/>
      <x:c r="T509" s="14" t="str"/>
      <x:c r="U509" s="19" t="n">
        <x:v>46303</x:v>
      </x:c>
    </x:row>
    <x:row r="510" ht="68" customHeight="1">
      <x:c r="A510" s="14" t="str">
        <x:v>D-831FAAB7</x:v>
      </x:c>
      <x:c r="B510" s="14" t="str">
        <x:v>在线阅读</x:v>
      </x:c>
      <x:c r="C510" s="14" t="str">
        <x:v>effectsize 包 ANOVA 效应量</x:v>
      </x:c>
      <x:c r="D510" s="14" t="str">
        <x:v>英文</x:v>
      </x:c>
      <x:c r="E510" s="15" t="str">
        <x:v>未处理</x:v>
      </x:c>
      <x:c r="F510" s="15" t="str"/>
      <x:c r="G510" s="16" t="str">
        <x:v>https://easystats.github.io/effectsize/articles/anovaES.html</x:v>
      </x:c>
      <x:c r="H510" s="14" t="str">
        <x:v>A06</x:v>
      </x:c>
      <x:c r="I510" s="14" t="str">
        <x:v>方法/软件项目</x:v>
      </x:c>
      <x:c r="J510" s="18" t="str"/>
      <x:c r="K510" s="14" t="str">
        <x:v>教材 / 说明书 / 网页</x:v>
      </x:c>
      <x:c r="L510" s="14" t="str">
        <x:v>选读</x:v>
      </x:c>
      <x:c r="M510" s="14" t="str">
        <x:v>以网页课程、在线章节或项目文档形式提供。</x:v>
      </x:c>
      <x:c r="N510" s="14" t="str">
        <x:v>打开官方入口，使用站点提供的下载功能；网页教程可继续在线使用。</x:v>
      </x:c>
      <x:c r="O510" s="14" t="str">
        <x:v>本条目的方法说明、参数、示例或诊断入口。</x:v>
      </x:c>
      <x:c r="P510" s="14" t="str"/>
      <x:c r="Q510" s="14" t="str"/>
      <x:c r="R510" s="17"/>
      <x:c r="S510" s="14" t="str"/>
      <x:c r="T510" s="14" t="str"/>
      <x:c r="U510" s="19" t="n">
        <x:v>46303</x:v>
      </x:c>
    </x:row>
    <x:row r="511" ht="68" customHeight="1">
      <x:c r="A511" s="14" t="str">
        <x:v>D-12842BC5</x:v>
      </x:c>
      <x:c r="B511" s="14" t="str">
        <x:v>在线阅读</x:v>
      </x:c>
      <x:c r="C511" s="14" t="str">
        <x:v>动手学深度学习 · 线性回归</x:v>
      </x:c>
      <x:c r="D511" s="14" t="str">
        <x:v>中文</x:v>
      </x:c>
      <x:c r="E511" s="15" t="str">
        <x:v>未处理</x:v>
      </x:c>
      <x:c r="F511" s="15" t="str"/>
      <x:c r="G511" s="16" t="str">
        <x:v>https://zh-v2.d2l.ai/chapter_linear-networks/linear-regression.html</x:v>
      </x:c>
      <x:c r="H511" s="14" t="str">
        <x:v>A06；C05；D01；D02；D09；D10；O04；O05</x:v>
      </x:c>
      <x:c r="I511" s="14" t="str">
        <x:v>张阿斯顿、李沐等</x:v>
      </x:c>
      <x:c r="J511" s="18" t="str"/>
      <x:c r="K511" s="14" t="str">
        <x:v>教材 / 说明书 / 网页</x:v>
      </x:c>
      <x:c r="L511" s="14" t="str">
        <x:v>选读</x:v>
      </x:c>
      <x:c r="M511" s="14" t="str">
        <x:v>以网页课程、在线章节或项目文档形式提供。</x:v>
      </x:c>
      <x:c r="N511" s="14" t="str">
        <x:v>打开官方入口，使用站点提供的下载功能；网页教程可继续在线使用。</x:v>
      </x:c>
      <x:c r="O511" s="14" t="str">
        <x:v>作者开放教材章节，含代码和练习。</x:v>
      </x:c>
      <x:c r="P511" s="14" t="str"/>
      <x:c r="Q511" s="14" t="str"/>
      <x:c r="R511" s="17"/>
      <x:c r="S511" s="14" t="str"/>
      <x:c r="T511" s="14" t="str"/>
      <x:c r="U511" s="19" t="n">
        <x:v>46303</x:v>
      </x:c>
    </x:row>
    <x:row r="512" ht="68" customHeight="1">
      <x:c r="A512" s="14" t="str">
        <x:v>D-9AB14200</x:v>
      </x:c>
      <x:c r="B512" s="14" t="str">
        <x:v>在线阅读</x:v>
      </x:c>
      <x:c r="C512" s="14" t="str">
        <x:v>pwr R 包</x:v>
      </x:c>
      <x:c r="D512" s="14" t="str">
        <x:v>英文</x:v>
      </x:c>
      <x:c r="E512" s="15" t="str">
        <x:v>未处理</x:v>
      </x:c>
      <x:c r="F512" s="15" t="str"/>
      <x:c r="G512" s="16" t="str">
        <x:v>https://cran.r-project.org/package=pwr</x:v>
      </x:c>
      <x:c r="H512" s="14" t="str">
        <x:v>A07</x:v>
      </x:c>
      <x:c r="I512" s="14" t="str">
        <x:v>方法/软件项目</x:v>
      </x:c>
      <x:c r="J512" s="18" t="str"/>
      <x:c r="K512" s="14" t="str">
        <x:v>教材 / 说明书 / 网页</x:v>
      </x:c>
      <x:c r="L512" s="14" t="str">
        <x:v>选读</x:v>
      </x:c>
      <x:c r="M512" s="14" t="str">
        <x:v>以网页课程、在线章节或项目文档形式提供。</x:v>
      </x:c>
      <x:c r="N512" s="14" t="str">
        <x:v>打开官方入口，使用站点提供的下载功能；网页教程可继续在线使用。</x:v>
      </x:c>
      <x:c r="O512" s="14" t="str">
        <x:v>本条目的方法说明、参数、示例或诊断入口。</x:v>
      </x:c>
      <x:c r="P512" s="14" t="str"/>
      <x:c r="Q512" s="14" t="str"/>
      <x:c r="R512" s="17"/>
      <x:c r="S512" s="14" t="str"/>
      <x:c r="T512" s="14" t="str"/>
      <x:c r="U512" s="19" t="n">
        <x:v>46303</x:v>
      </x:c>
    </x:row>
    <x:row r="513" ht="68" customHeight="1">
      <x:c r="A513" s="14" t="str">
        <x:v>D-E20AEC04</x:v>
      </x:c>
      <x:c r="B513" s="14" t="str">
        <x:v>在线阅读</x:v>
      </x:c>
      <x:c r="C513" s="14" t="str">
        <x:v>simr（多层模型模拟功效）</x:v>
      </x:c>
      <x:c r="D513" s="14" t="str">
        <x:v>英文</x:v>
      </x:c>
      <x:c r="E513" s="15" t="str">
        <x:v>未处理</x:v>
      </x:c>
      <x:c r="F513" s="15" t="str"/>
      <x:c r="G513" s="16" t="str">
        <x:v>https://cran.r-project.org/package=simr</x:v>
      </x:c>
      <x:c r="H513" s="14" t="str">
        <x:v>A07</x:v>
      </x:c>
      <x:c r="I513" s="14" t="str">
        <x:v>方法/软件项目</x:v>
      </x:c>
      <x:c r="J513" s="18" t="str"/>
      <x:c r="K513" s="14" t="str">
        <x:v>教材 / 说明书 / 网页</x:v>
      </x:c>
      <x:c r="L513" s="14" t="str">
        <x:v>选读</x:v>
      </x:c>
      <x:c r="M513" s="14" t="str">
        <x:v>以网页课程、在线章节或项目文档形式提供。</x:v>
      </x:c>
      <x:c r="N513" s="14" t="str">
        <x:v>打开官方入口，使用站点提供的下载功能；网页教程可继续在线使用。</x:v>
      </x:c>
      <x:c r="O513" s="14" t="str">
        <x:v>本条目的方法说明、参数、示例或诊断入口。</x:v>
      </x:c>
      <x:c r="P513" s="14" t="str"/>
      <x:c r="Q513" s="14" t="str"/>
      <x:c r="R513" s="17"/>
      <x:c r="S513" s="14" t="str"/>
      <x:c r="T513" s="14" t="str"/>
      <x:c r="U513" s="19" t="n">
        <x:v>46303</x:v>
      </x:c>
    </x:row>
    <x:row r="514" ht="68" customHeight="1">
      <x:c r="A514" s="14" t="str">
        <x:v>D-9D600A69</x:v>
      </x:c>
      <x:c r="B514" s="14" t="str">
        <x:v>在线阅读</x:v>
      </x:c>
      <x:c r="C514" s="14" t="str">
        <x:v>Superpower（因子设计功效模拟，含在线 app）</x:v>
      </x:c>
      <x:c r="D514" s="14" t="str">
        <x:v>英文</x:v>
      </x:c>
      <x:c r="E514" s="15" t="str">
        <x:v>未处理</x:v>
      </x:c>
      <x:c r="F514" s="15" t="str"/>
      <x:c r="G514" s="16" t="str">
        <x:v>https://aaroncaldwell.us/SuperpowerBook/</x:v>
      </x:c>
      <x:c r="H514" s="14" t="str">
        <x:v>A07</x:v>
      </x:c>
      <x:c r="I514" s="14" t="str">
        <x:v>aaroncaldwell.us</x:v>
      </x:c>
      <x:c r="J514" s="18" t="str"/>
      <x:c r="K514" s="14" t="str">
        <x:v>教材 / 说明书 / 网页</x:v>
      </x:c>
      <x:c r="L514" s="14" t="str">
        <x:v>选读</x:v>
      </x:c>
      <x:c r="M514" s="14" t="str">
        <x:v>以网页课程、在线章节或项目文档形式提供。</x:v>
      </x:c>
      <x:c r="N514" s="14" t="str">
        <x:v>打开官方入口，使用站点提供的下载功能；网页教程可继续在线使用。</x:v>
      </x:c>
      <x:c r="O514" s="14" t="str">
        <x:v>官方说明与使用示例。</x:v>
      </x:c>
      <x:c r="P514" s="14" t="str"/>
      <x:c r="Q514" s="14" t="str"/>
      <x:c r="R514" s="17"/>
      <x:c r="S514" s="14" t="str"/>
      <x:c r="T514" s="14" t="str"/>
      <x:c r="U514" s="19" t="n">
        <x:v>46303</x:v>
      </x:c>
    </x:row>
    <x:row r="515" ht="68" customHeight="1">
      <x:c r="A515" s="14" t="str">
        <x:v>D-01523446</x:v>
      </x:c>
      <x:c r="B515" s="14" t="str">
        <x:v>在线阅读</x:v>
      </x:c>
      <x:c r="C515" s="14" t="str">
        <x:v>emmeans 包（事后比较与对比）</x:v>
      </x:c>
      <x:c r="D515" s="14" t="str">
        <x:v>英文</x:v>
      </x:c>
      <x:c r="E515" s="15" t="str">
        <x:v>未处理</x:v>
      </x:c>
      <x:c r="F515" s="15" t="str"/>
      <x:c r="G515" s="16" t="str">
        <x:v>https://rvlenth.github.io/emmeans/</x:v>
      </x:c>
      <x:c r="H515" s="14" t="str">
        <x:v>A08；C02；C03；C05</x:v>
      </x:c>
      <x:c r="I515" s="14" t="str">
        <x:v>方法/软件项目</x:v>
      </x:c>
      <x:c r="J515" s="18" t="str"/>
      <x:c r="K515" s="14" t="str">
        <x:v>教材 / 说明书 / 网页</x:v>
      </x:c>
      <x:c r="L515" s="14" t="str">
        <x:v>选读</x:v>
      </x:c>
      <x:c r="M515" s="14" t="str">
        <x:v>以网页课程、在线章节或项目文档形式提供。</x:v>
      </x:c>
      <x:c r="N515" s="14" t="str">
        <x:v>打开官方入口，使用站点提供的下载功能；网页教程可继续在线使用。</x:v>
      </x:c>
      <x:c r="O515" s="14" t="str">
        <x:v>本条目的方法说明、参数、示例或诊断入口。</x:v>
      </x:c>
      <x:c r="P515" s="14" t="str"/>
      <x:c r="Q515" s="14" t="str"/>
      <x:c r="R515" s="17"/>
      <x:c r="S515" s="14" t="str"/>
      <x:c r="T515" s="14" t="str"/>
      <x:c r="U515" s="19" t="n">
        <x:v>46303</x:v>
      </x:c>
    </x:row>
    <x:row r="516" ht="68" customHeight="1">
      <x:c r="A516" s="14" t="str">
        <x:v>D-03BDC7D7</x:v>
      </x:c>
      <x:c r="B516" s="14" t="str">
        <x:v>在线阅读</x:v>
      </x:c>
      <x:c r="C516" s="14" t="str">
        <x:v>boot 包 CRAN</x:v>
      </x:c>
      <x:c r="D516" s="14" t="str">
        <x:v>英文</x:v>
      </x:c>
      <x:c r="E516" s="15" t="str">
        <x:v>未处理</x:v>
      </x:c>
      <x:c r="F516" s="15" t="str"/>
      <x:c r="G516" s="16" t="str">
        <x:v>https://cran.r-project.org/package=boot</x:v>
      </x:c>
      <x:c r="H516" s="14" t="str">
        <x:v>A09</x:v>
      </x:c>
      <x:c r="I516" s="14" t="str">
        <x:v>方法/软件项目</x:v>
      </x:c>
      <x:c r="J516" s="18" t="str"/>
      <x:c r="K516" s="14" t="str">
        <x:v>教材 / 说明书 / 网页</x:v>
      </x:c>
      <x:c r="L516" s="14" t="str">
        <x:v>选读</x:v>
      </x:c>
      <x:c r="M516" s="14" t="str">
        <x:v>以网页课程、在线章节或项目文档形式提供。</x:v>
      </x:c>
      <x:c r="N516" s="14" t="str">
        <x:v>打开官方入口，使用站点提供的下载功能；网页教程可继续在线使用。</x:v>
      </x:c>
      <x:c r="O516" s="14" t="str">
        <x:v>本条目的方法说明、参数、示例或诊断入口。</x:v>
      </x:c>
      <x:c r="P516" s="14" t="str"/>
      <x:c r="Q516" s="14" t="str"/>
      <x:c r="R516" s="17"/>
      <x:c r="S516" s="14" t="str"/>
      <x:c r="T516" s="14" t="str"/>
      <x:c r="U516" s="19" t="n">
        <x:v>46303</x:v>
      </x:c>
    </x:row>
    <x:row r="517" ht="68" customHeight="1">
      <x:c r="A517" s="14" t="str">
        <x:v>D-D1862BAF</x:v>
      </x:c>
      <x:c r="B517" s="14" t="str">
        <x:v>在线阅读</x:v>
      </x:c>
      <x:c r="C517" s="14" t="str">
        <x:v>统计计算 · 17 Bootstrap方法( * )</x:v>
      </x:c>
      <x:c r="D517" s="14" t="str">
        <x:v>中文</x:v>
      </x:c>
      <x:c r="E517" s="15" t="str">
        <x:v>未处理</x:v>
      </x:c>
      <x:c r="F517" s="15" t="str"/>
      <x:c r="G517" s="16" t="str">
        <x:v>https://math.pku.edu.cn/teachers/lidf/docs/statcomp/html/_statcompbook/sim-bootstrap.html</x:v>
      </x:c>
      <x:c r="H517" s="14" t="str">
        <x:v>A09</x:v>
      </x:c>
      <x:c r="I517" s="14" t="str">
        <x:v>李东风 · 北京大学</x:v>
      </x:c>
      <x:c r="J517" s="18" t="str"/>
      <x:c r="K517" s="14" t="str">
        <x:v>教材 / 说明书 / 网页</x:v>
      </x:c>
      <x:c r="L517" s="14" t="str">
        <x:v>选读</x:v>
      </x:c>
      <x:c r="M517" s="14" t="str">
        <x:v>以网页课程、在线章节或项目文档形式提供。</x:v>
      </x:c>
      <x:c r="N517" s="14" t="str">
        <x:v>打开官方入口，使用站点提供的下载功能；网页教程可继续在线使用。</x:v>
      </x:c>
      <x:c r="O517" s="14" t="str">
        <x:v>作者公开讲义：算法、推导与 R 计算。</x:v>
      </x:c>
      <x:c r="P517" s="14" t="str"/>
      <x:c r="Q517" s="14" t="str"/>
      <x:c r="R517" s="17"/>
      <x:c r="S517" s="14" t="str"/>
      <x:c r="T517" s="14" t="str"/>
      <x:c r="U517" s="19" t="n">
        <x:v>46303</x:v>
      </x:c>
    </x:row>
    <x:row r="518" ht="68" customHeight="1">
      <x:c r="A518" s="14" t="str">
        <x:v>D-C7BE2419</x:v>
      </x:c>
      <x:c r="B518" s="14" t="str">
        <x:v>在线阅读</x:v>
      </x:c>
      <x:c r="C518" s="14" t="str">
        <x:v>R语言教程 · 31 使用infer包进行统计推断</x:v>
      </x:c>
      <x:c r="D518" s="14" t="str">
        <x:v>中文</x:v>
      </x:c>
      <x:c r="E518" s="15" t="str">
        <x:v>未处理</x:v>
      </x:c>
      <x:c r="F518" s="15" t="str"/>
      <x:c r="G518" s="16" t="str">
        <x:v>https://math.pku.edu.cn/teachers/lidf/docs/Rbook/html/_Rbook/stat-base-infer.html</x:v>
      </x:c>
      <x:c r="H518" s="14" t="str">
        <x:v>A09；A10</x:v>
      </x:c>
      <x:c r="I518" s="14" t="str">
        <x:v>李东风 · 北京大学</x:v>
      </x:c>
      <x:c r="J518" s="18" t="str"/>
      <x:c r="K518" s="14" t="str">
        <x:v>教材 / 说明书 / 网页</x:v>
      </x:c>
      <x:c r="L518" s="14" t="str">
        <x:v>选读</x:v>
      </x:c>
      <x:c r="M518" s="14" t="str">
        <x:v>以网页课程、在线章节或项目文档形式提供。</x:v>
      </x:c>
      <x:c r="N518" s="14" t="str">
        <x:v>打开官方入口，使用站点提供的下载功能；网页教程可继续在线使用。</x:v>
      </x:c>
      <x:c r="O518" s="14" t="str">
        <x:v>作者课程讲义，含 R 示例与章节练习。</x:v>
      </x:c>
      <x:c r="P518" s="14" t="str"/>
      <x:c r="Q518" s="14" t="str"/>
      <x:c r="R518" s="17"/>
      <x:c r="S518" s="14" t="str"/>
      <x:c r="T518" s="14" t="str"/>
      <x:c r="U518" s="19" t="n">
        <x:v>46303</x:v>
      </x:c>
    </x:row>
    <x:row r="519" ht="68" customHeight="1">
      <x:c r="A519" s="14" t="str">
        <x:v>D-1A9F6E98</x:v>
      </x:c>
      <x:c r="B519" s="14" t="str">
        <x:v>在线阅读</x:v>
      </x:c>
      <x:c r="C519" s="14" t="str">
        <x:v>coin 包（置换检验框架）</x:v>
      </x:c>
      <x:c r="D519" s="14" t="str">
        <x:v>英文</x:v>
      </x:c>
      <x:c r="E519" s="15" t="str">
        <x:v>未处理</x:v>
      </x:c>
      <x:c r="F519" s="15" t="str"/>
      <x:c r="G519" s="16" t="str">
        <x:v>https://cran.r-project.org/package=coin</x:v>
      </x:c>
      <x:c r="H519" s="14" t="str">
        <x:v>A10</x:v>
      </x:c>
      <x:c r="I519" s="14" t="str">
        <x:v>方法/软件项目</x:v>
      </x:c>
      <x:c r="J519" s="18" t="str"/>
      <x:c r="K519" s="14" t="str">
        <x:v>教材 / 说明书 / 网页</x:v>
      </x:c>
      <x:c r="L519" s="14" t="str">
        <x:v>选读</x:v>
      </x:c>
      <x:c r="M519" s="14" t="str">
        <x:v>以网页课程、在线章节或项目文档形式提供。</x:v>
      </x:c>
      <x:c r="N519" s="14" t="str">
        <x:v>打开官方入口，使用站点提供的下载功能；网页教程可继续在线使用。</x:v>
      </x:c>
      <x:c r="O519" s="14" t="str">
        <x:v>本条目的方法说明、参数、示例或诊断入口。</x:v>
      </x:c>
      <x:c r="P519" s="14" t="str"/>
      <x:c r="Q519" s="14" t="str"/>
      <x:c r="R519" s="17"/>
      <x:c r="S519" s="14" t="str"/>
      <x:c r="T519" s="14" t="str"/>
      <x:c r="U519" s="19" t="n">
        <x:v>46303</x:v>
      </x:c>
    </x:row>
    <x:row r="520" ht="68" customHeight="1">
      <x:c r="A520" s="14" t="str">
        <x:v>D-617AB4B1</x:v>
      </x:c>
      <x:c r="B520" s="14" t="str">
        <x:v>在线阅读</x:v>
      </x:c>
      <x:c r="C520" s="14" t="str">
        <x:v>统计计算 · 18 置换检验( * )</x:v>
      </x:c>
      <x:c r="D520" s="14" t="str">
        <x:v>中文</x:v>
      </x:c>
      <x:c r="E520" s="15" t="str">
        <x:v>未处理</x:v>
      </x:c>
      <x:c r="F520" s="15" t="str"/>
      <x:c r="G520" s="16" t="str">
        <x:v>https://math.pku.edu.cn/teachers/lidf/docs/statcomp/html/_statcompbook/sim-permt.html</x:v>
      </x:c>
      <x:c r="H520" s="14" t="str">
        <x:v>A10</x:v>
      </x:c>
      <x:c r="I520" s="14" t="str">
        <x:v>李东风 · 北京大学</x:v>
      </x:c>
      <x:c r="J520" s="18" t="str"/>
      <x:c r="K520" s="14" t="str">
        <x:v>教材 / 说明书 / 网页</x:v>
      </x:c>
      <x:c r="L520" s="14" t="str">
        <x:v>选读</x:v>
      </x:c>
      <x:c r="M520" s="14" t="str">
        <x:v>以网页课程、在线章节或项目文档形式提供。</x:v>
      </x:c>
      <x:c r="N520" s="14" t="str">
        <x:v>打开官方入口，使用站点提供的下载功能；网页教程可继续在线使用。</x:v>
      </x:c>
      <x:c r="O520" s="14" t="str">
        <x:v>作者公开讲义：算法、推导与 R 计算。</x:v>
      </x:c>
      <x:c r="P520" s="14" t="str"/>
      <x:c r="Q520" s="14" t="str"/>
      <x:c r="R520" s="17"/>
      <x:c r="S520" s="14" t="str"/>
      <x:c r="T520" s="14" t="str"/>
      <x:c r="U520" s="19" t="n">
        <x:v>46303</x:v>
      </x:c>
    </x:row>
    <x:row r="521" ht="68" customHeight="1">
      <x:c r="A521" s="14" t="str">
        <x:v>D-87E5CEFE</x:v>
      </x:c>
      <x:c r="B521" s="14" t="str">
        <x:v>在线阅读</x:v>
      </x:c>
      <x:c r="C521" s="14" t="str">
        <x:v>TOSTER 包</x:v>
      </x:c>
      <x:c r="D521" s="14" t="str">
        <x:v>英文</x:v>
      </x:c>
      <x:c r="E521" s="15" t="str">
        <x:v>未处理</x:v>
      </x:c>
      <x:c r="F521" s="15" t="str"/>
      <x:c r="G521" s="16" t="str">
        <x:v>https://aaroncaldwell.us/TOSTERpkg/</x:v>
      </x:c>
      <x:c r="H521" s="14" t="str">
        <x:v>A11</x:v>
      </x:c>
      <x:c r="I521" s="14" t="str">
        <x:v>方法/软件项目</x:v>
      </x:c>
      <x:c r="J521" s="18" t="str"/>
      <x:c r="K521" s="14" t="str">
        <x:v>教材 / 说明书 / 网页</x:v>
      </x:c>
      <x:c r="L521" s="14" t="str">
        <x:v>选读</x:v>
      </x:c>
      <x:c r="M521" s="14" t="str">
        <x:v>以网页课程、在线章节或项目文档形式提供。</x:v>
      </x:c>
      <x:c r="N521" s="14" t="str">
        <x:v>打开官方入口，使用站点提供的下载功能；网页教程可继续在线使用。</x:v>
      </x:c>
      <x:c r="O521" s="14" t="str">
        <x:v>本条目的方法说明、参数、示例或诊断入口。</x:v>
      </x:c>
      <x:c r="P521" s="14" t="str"/>
      <x:c r="Q521" s="14" t="str"/>
      <x:c r="R521" s="17"/>
      <x:c r="S521" s="14" t="str"/>
      <x:c r="T521" s="14" t="str"/>
      <x:c r="U521" s="19" t="n">
        <x:v>46303</x:v>
      </x:c>
    </x:row>
    <x:row r="522" ht="68" customHeight="1">
      <x:c r="A522" s="14" t="str">
        <x:v>D-6FAD9751</x:v>
      </x:c>
      <x:c r="B522" s="14" t="str">
        <x:v>在线阅读</x:v>
      </x:c>
      <x:c r="C522" s="14" t="str">
        <x:v>rstatix（含效应量的非参数检验）</x:v>
      </x:c>
      <x:c r="D522" s="14" t="str">
        <x:v>英文</x:v>
      </x:c>
      <x:c r="E522" s="15" t="str">
        <x:v>未处理</x:v>
      </x:c>
      <x:c r="F522" s="15" t="str"/>
      <x:c r="G522" s="16" t="str">
        <x:v>https://rpkgs.datanovia.com/rstatix/</x:v>
      </x:c>
      <x:c r="H522" s="14" t="str">
        <x:v>A12；C06</x:v>
      </x:c>
      <x:c r="I522" s="14" t="str">
        <x:v>方法/软件项目</x:v>
      </x:c>
      <x:c r="J522" s="18" t="str"/>
      <x:c r="K522" s="14" t="str">
        <x:v>教材 / 说明书 / 网页</x:v>
      </x:c>
      <x:c r="L522" s="14" t="str">
        <x:v>选读</x:v>
      </x:c>
      <x:c r="M522" s="14" t="str">
        <x:v>以网页课程、在线章节或项目文档形式提供。</x:v>
      </x:c>
      <x:c r="N522" s="14" t="str">
        <x:v>打开官方入口，使用站点提供的下载功能；网页教程可继续在线使用。</x:v>
      </x:c>
      <x:c r="O522" s="14" t="str">
        <x:v>本条目的方法说明、参数、示例或诊断入口。</x:v>
      </x:c>
      <x:c r="P522" s="14" t="str"/>
      <x:c r="Q522" s="14" t="str"/>
      <x:c r="R522" s="17"/>
      <x:c r="S522" s="14" t="str"/>
      <x:c r="T522" s="14" t="str"/>
      <x:c r="U522" s="19" t="n">
        <x:v>46303</x:v>
      </x:c>
    </x:row>
    <x:row r="523" ht="68" customHeight="1">
      <x:c r="A523" s="14" t="str">
        <x:v>D-F31FA1DF</x:v>
      </x:c>
      <x:c r="B523" s="14" t="str">
        <x:v>在线阅读</x:v>
      </x:c>
      <x:c r="C523" s="14" t="str">
        <x:v>WRS2 包（Wilcox 稳健方法）</x:v>
      </x:c>
      <x:c r="D523" s="14" t="str">
        <x:v>英文</x:v>
      </x:c>
      <x:c r="E523" s="15" t="str">
        <x:v>未处理</x:v>
      </x:c>
      <x:c r="F523" s="15" t="str"/>
      <x:c r="G523" s="16" t="str">
        <x:v>https://cran.r-project.org/package=WRS2</x:v>
      </x:c>
      <x:c r="H523" s="14" t="str">
        <x:v>A12；D09</x:v>
      </x:c>
      <x:c r="I523" s="14" t="str">
        <x:v>方法/软件项目</x:v>
      </x:c>
      <x:c r="J523" s="18" t="str"/>
      <x:c r="K523" s="14" t="str">
        <x:v>教材 / 说明书 / 网页</x:v>
      </x:c>
      <x:c r="L523" s="14" t="str">
        <x:v>选读</x:v>
      </x:c>
      <x:c r="M523" s="14" t="str">
        <x:v>以网页课程、在线章节或项目文档形式提供。</x:v>
      </x:c>
      <x:c r="N523" s="14" t="str">
        <x:v>打开官方入口，使用站点提供的下载功能；网页教程可继续在线使用。</x:v>
      </x:c>
      <x:c r="O523" s="14" t="str">
        <x:v>本条目的方法说明、参数、示例或诊断入口。</x:v>
      </x:c>
      <x:c r="P523" s="14" t="str"/>
      <x:c r="Q523" s="14" t="str"/>
      <x:c r="R523" s="17"/>
      <x:c r="S523" s="14" t="str"/>
      <x:c r="T523" s="14" t="str"/>
      <x:c r="U523" s="19" t="n">
        <x:v>46303</x:v>
      </x:c>
    </x:row>
    <x:row r="524" ht="68" customHeight="1">
      <x:c r="A524" s="14" t="str">
        <x:v>D-A9C0CE58</x:v>
      </x:c>
      <x:c r="B524" s="14" t="str">
        <x:v>在线阅读</x:v>
      </x:c>
      <x:c r="C524" s="14" t="str">
        <x:v>vcd 包（列联表可视化与效应量）</x:v>
      </x:c>
      <x:c r="D524" s="14" t="str">
        <x:v>英文</x:v>
      </x:c>
      <x:c r="E524" s="15" t="str">
        <x:v>未处理</x:v>
      </x:c>
      <x:c r="F524" s="15" t="str"/>
      <x:c r="G524" s="16" t="str">
        <x:v>https://cran.r-project.org/package=vcd</x:v>
      </x:c>
      <x:c r="H524" s="14" t="str">
        <x:v>A13</x:v>
      </x:c>
      <x:c r="I524" s="14" t="str">
        <x:v>方法/软件项目</x:v>
      </x:c>
      <x:c r="J524" s="18" t="str"/>
      <x:c r="K524" s="14" t="str">
        <x:v>教材 / 说明书 / 网页</x:v>
      </x:c>
      <x:c r="L524" s="14" t="str">
        <x:v>选读</x:v>
      </x:c>
      <x:c r="M524" s="14" t="str">
        <x:v>以网页课程、在线章节或项目文档形式提供。</x:v>
      </x:c>
      <x:c r="N524" s="14" t="str">
        <x:v>打开官方入口，使用站点提供的下载功能；网页教程可继续在线使用。</x:v>
      </x:c>
      <x:c r="O524" s="14" t="str">
        <x:v>本条目的方法说明、参数、示例或诊断入口。</x:v>
      </x:c>
      <x:c r="P524" s="14" t="str"/>
      <x:c r="Q524" s="14" t="str"/>
      <x:c r="R524" s="17"/>
      <x:c r="S524" s="14" t="str"/>
      <x:c r="T524" s="14" t="str"/>
      <x:c r="U524" s="19" t="n">
        <x:v>46303</x:v>
      </x:c>
    </x:row>
    <x:row r="525" ht="68" customHeight="1">
      <x:c r="A525" s="14" t="str">
        <x:v>D-C9F94197</x:v>
      </x:c>
      <x:c r="B525" s="14" t="str">
        <x:v>在线阅读</x:v>
      </x:c>
      <x:c r="C525" s="14" t="str">
        <x:v>ordinal 包（顺序回归）</x:v>
      </x:c>
      <x:c r="D525" s="14" t="str">
        <x:v>英文</x:v>
      </x:c>
      <x:c r="E525" s="15" t="str">
        <x:v>未处理</x:v>
      </x:c>
      <x:c r="F525" s="15" t="str"/>
      <x:c r="G525" s="16" t="str">
        <x:v>https://cran.r-project.org/package=ordinal</x:v>
      </x:c>
      <x:c r="H525" s="14" t="str">
        <x:v>B01</x:v>
      </x:c>
      <x:c r="I525" s="14" t="str">
        <x:v>方法/软件项目</x:v>
      </x:c>
      <x:c r="J525" s="18" t="str"/>
      <x:c r="K525" s="14" t="str">
        <x:v>教材 / 说明书 / 网页</x:v>
      </x:c>
      <x:c r="L525" s="14" t="str">
        <x:v>选读</x:v>
      </x:c>
      <x:c r="M525" s="14" t="str">
        <x:v>以网页课程、在线章节或项目文档形式提供。</x:v>
      </x:c>
      <x:c r="N525" s="14" t="str">
        <x:v>打开官方入口，使用站点提供的下载功能；网页教程可继续在线使用。</x:v>
      </x:c>
      <x:c r="O525" s="14" t="str">
        <x:v>本条目的方法说明、参数、示例或诊断入口。</x:v>
      </x:c>
      <x:c r="P525" s="14" t="str"/>
      <x:c r="Q525" s="14" t="str"/>
      <x:c r="R525" s="17"/>
      <x:c r="S525" s="14" t="str"/>
      <x:c r="T525" s="14" t="str"/>
      <x:c r="U525" s="19" t="n">
        <x:v>46303</x:v>
      </x:c>
    </x:row>
    <x:row r="526" ht="68" customHeight="1">
      <x:c r="A526" s="14" t="str">
        <x:v>D-C14BFAD1</x:v>
      </x:c>
      <x:c r="B526" s="14" t="str">
        <x:v>在线阅读</x:v>
      </x:c>
      <x:c r="C526" s="14" t="str">
        <x:v>mirt documentation</x:v>
      </x:c>
      <x:c r="D526" s="14" t="str">
        <x:v>英文</x:v>
      </x:c>
      <x:c r="E526" s="15" t="str">
        <x:v>未处理</x:v>
      </x:c>
      <x:c r="F526" s="15" t="str"/>
      <x:c r="G526" s="16" t="str">
        <x:v>https://philchalmers.github.io/mirt/docs/reference/mirt-package.html</x:v>
      </x:c>
      <x:c r="H526" s="14" t="str">
        <x:v>B01；B02；B03；B04；B05；B06；B07；B08；B09；B10；B11；B12；B13；B14；B15；B16；B17；B18</x:v>
      </x:c>
      <x:c r="I526" s="14" t="str">
        <x:v>mirt project</x:v>
      </x:c>
      <x:c r="J526" s="18" t="str"/>
      <x:c r="K526" s="14" t="str">
        <x:v>教材 / 说明书 / 网页</x:v>
      </x:c>
      <x:c r="L526" s="14" t="str">
        <x:v>选读</x:v>
      </x:c>
      <x:c r="M526" s="14" t="str">
        <x:v>以网页课程、在线章节或项目文档形式提供。</x:v>
      </x:c>
      <x:c r="N526" s="14" t="str">
        <x:v>打开官方入口，使用站点提供的下载功能；网页教程可继续在线使用。</x:v>
      </x:c>
      <x:c r="O526" s="14" t="str">
        <x:v>单维/多维 IRT、DIF、测验信息和多组模型的官方说明。</x:v>
      </x:c>
      <x:c r="P526" s="14" t="str"/>
      <x:c r="Q526" s="14" t="str"/>
      <x:c r="R526" s="17"/>
      <x:c r="S526" s="14" t="str"/>
      <x:c r="T526" s="14" t="str"/>
      <x:c r="U526" s="19" t="n">
        <x:v>46303</x:v>
      </x:c>
    </x:row>
    <x:row r="527" ht="68" customHeight="1">
      <x:c r="A527" s="14" t="str">
        <x:v>D-878D9DFB</x:v>
      </x:c>
      <x:c r="B527" s="14" t="str">
        <x:v>在线阅读</x:v>
      </x:c>
      <x:c r="C527" s="14" t="str">
        <x:v>Psychometric Theory with Applications in R</x:v>
      </x:c>
      <x:c r="D527" s="14" t="str">
        <x:v>英文</x:v>
      </x:c>
      <x:c r="E527" s="15" t="str">
        <x:v>未处理</x:v>
      </x:c>
      <x:c r="F527" s="15" t="str"/>
      <x:c r="G527" s="16" t="str">
        <x:v>https://personality-project.org/r/book/</x:v>
      </x:c>
      <x:c r="H527" s="14" t="str">
        <x:v>B01；B02；B03；B04；B05；B06；B07；B08；B09；B10；B11；B12；B13；B14；B15；B16；B17；B18</x:v>
      </x:c>
      <x:c r="I527" s="14" t="str">
        <x:v>Personality Project / Northwestern</x:v>
      </x:c>
      <x:c r="J527" s="18" t="str"/>
      <x:c r="K527" s="14" t="str">
        <x:v>教材 / 说明书 / 网页</x:v>
      </x:c>
      <x:c r="L527" s="14" t="str">
        <x:v>选读</x:v>
      </x:c>
      <x:c r="M527" s="14" t="str">
        <x:v>以网页课程、在线章节或项目文档形式提供。</x:v>
      </x:c>
      <x:c r="N527" s="14" t="str">
        <x:v>打开官方入口，使用站点提供的下载功能；网页教程可继续在线使用。</x:v>
      </x:c>
      <x:c r="O527" s="14" t="str">
        <x:v>量表、信度、因素分析与心理测量的开放讲义。</x:v>
      </x:c>
      <x:c r="P527" s="14" t="str"/>
      <x:c r="Q527" s="14" t="str"/>
      <x:c r="R527" s="17"/>
      <x:c r="S527" s="14" t="str"/>
      <x:c r="T527" s="14" t="str"/>
      <x:c r="U527" s="19" t="n">
        <x:v>46303</x:v>
      </x:c>
    </x:row>
    <x:row r="528" ht="68" customHeight="1">
      <x:c r="A528" s="14" t="str">
        <x:v>D-9253F6EE</x:v>
      </x:c>
      <x:c r="B528" s="14" t="str">
        <x:v>在线阅读</x:v>
      </x:c>
      <x:c r="C528" s="14" t="str">
        <x:v>STAT 505: Applied Multivariate Statistical Analysis</x:v>
      </x:c>
      <x:c r="D528" s="14" t="str">
        <x:v>英文</x:v>
      </x:c>
      <x:c r="E528" s="15" t="str">
        <x:v>未处理</x:v>
      </x:c>
      <x:c r="F528" s="15" t="str"/>
      <x:c r="G528" s="16" t="str">
        <x:v>https://online.stat.psu.edu/stat505/</x:v>
      </x:c>
      <x:c r="H528" s="14" t="str">
        <x:v>B01；B02；B03；B04；B05；B06；B07；B08；B09；B10；B11；B12；B13；B14；B15；B16；B17；B18；I01；I02；I03；I04；I05</x:v>
      </x:c>
      <x:c r="I528" s="14" t="str">
        <x:v>Penn State Statistics</x:v>
      </x:c>
      <x:c r="J528" s="18" t="str"/>
      <x:c r="K528" s="14" t="str">
        <x:v>教材 / 说明书 / 网页</x:v>
      </x:c>
      <x:c r="L528" s="14" t="str">
        <x:v>选读</x:v>
      </x:c>
      <x:c r="M528" s="14" t="str">
        <x:v>以网页课程、在线章节或项目文档形式提供。</x:v>
      </x:c>
      <x:c r="N528" s="14" t="str">
        <x:v>打开官方入口，使用站点提供的下载功能；网页教程可继续在线使用。</x:v>
      </x:c>
      <x:c r="O528" s="14" t="str">
        <x:v>协方差、主成分、因素分析、聚类和多元推断。</x:v>
      </x:c>
      <x:c r="P528" s="14" t="str"/>
      <x:c r="Q528" s="14" t="str"/>
      <x:c r="R528" s="17"/>
      <x:c r="S528" s="14" t="str"/>
      <x:c r="T528" s="14" t="str"/>
      <x:c r="U528" s="19" t="n">
        <x:v>46303</x:v>
      </x:c>
    </x:row>
    <x:row r="529" ht="68" customHeight="1">
      <x:c r="A529" s="14" t="str">
        <x:v>D-E128D3B3</x:v>
      </x:c>
      <x:c r="B529" s="14" t="str">
        <x:v>在线阅读</x:v>
      </x:c>
      <x:c r="C529" s="14" t="str">
        <x:v>Bit by Bit · 询问问题</x:v>
      </x:c>
      <x:c r="D529" s="14" t="str">
        <x:v>中文</x:v>
      </x:c>
      <x:c r="E529" s="15" t="str">
        <x:v>未处理</x:v>
      </x:c>
      <x:c r="F529" s="15" t="str"/>
      <x:c r="G529" s="16" t="str">
        <x:v>https://www.bitbybitbook.com/zh-CN/1st-ed/asking-questions/</x:v>
      </x:c>
      <x:c r="H529" s="14" t="str">
        <x:v>B01；B04；B16；C09；C10；N04；N05；N06；N07；N08</x:v>
      </x:c>
      <x:c r="I529" s="14" t="str">
        <x:v>Matthew Salganik · 官方中文版本</x:v>
      </x:c>
      <x:c r="J529" s="18" t="str"/>
      <x:c r="K529" s="14" t="str">
        <x:v>教材 / 说明书 / 网页</x:v>
      </x:c>
      <x:c r="L529" s="14" t="str">
        <x:v>选读</x:v>
      </x:c>
      <x:c r="M529" s="14" t="str">
        <x:v>以网页课程、在线章节或项目文档形式提供。</x:v>
      </x:c>
      <x:c r="N529" s="14" t="str">
        <x:v>打开官方入口，使用站点提供的下载功能；网页教程可继续在线使用。</x:v>
      </x:c>
      <x:c r="O529" s="14" t="str">
        <x:v>中文版本帮助理解研究设计和数字时代的数据生成；不是估计器操作手册。</x:v>
      </x:c>
      <x:c r="P529" s="14" t="str"/>
      <x:c r="Q529" s="14" t="str"/>
      <x:c r="R529" s="17"/>
      <x:c r="S529" s="14" t="str"/>
      <x:c r="T529" s="14" t="str"/>
      <x:c r="U529" s="19" t="n">
        <x:v>46303</x:v>
      </x:c>
    </x:row>
    <x:row r="530" ht="68" customHeight="1">
      <x:c r="A530" s="14" t="str">
        <x:v>D-4380C068</x:v>
      </x:c>
      <x:c r="B530" s="14" t="str">
        <x:v>在线阅读</x:v>
      </x:c>
      <x:c r="C530" s="14" t="str">
        <x:v>psych 包（信度与因素分析全套）</x:v>
      </x:c>
      <x:c r="D530" s="14" t="str">
        <x:v>英文</x:v>
      </x:c>
      <x:c r="E530" s="15" t="str">
        <x:v>未处理</x:v>
      </x:c>
      <x:c r="F530" s="15" t="str"/>
      <x:c r="G530" s="16" t="str">
        <x:v>https://cran.r-project.org/package=psych</x:v>
      </x:c>
      <x:c r="H530" s="14" t="str">
        <x:v>B02</x:v>
      </x:c>
      <x:c r="I530" s="14" t="str">
        <x:v>方法/软件项目</x:v>
      </x:c>
      <x:c r="J530" s="18" t="str"/>
      <x:c r="K530" s="14" t="str">
        <x:v>教材 / 说明书 / 网页</x:v>
      </x:c>
      <x:c r="L530" s="14" t="str">
        <x:v>选读</x:v>
      </x:c>
      <x:c r="M530" s="14" t="str">
        <x:v>以网页课程、在线章节或项目文档形式提供。</x:v>
      </x:c>
      <x:c r="N530" s="14" t="str">
        <x:v>打开官方入口，使用站点提供的下载功能；网页教程可继续在线使用。</x:v>
      </x:c>
      <x:c r="O530" s="14" t="str">
        <x:v>本条目的方法说明、参数、示例或诊断入口。</x:v>
      </x:c>
      <x:c r="P530" s="14" t="str"/>
      <x:c r="Q530" s="14" t="str"/>
      <x:c r="R530" s="17"/>
      <x:c r="S530" s="14" t="str"/>
      <x:c r="T530" s="14" t="str"/>
      <x:c r="U530" s="19" t="n">
        <x:v>46303</x:v>
      </x:c>
    </x:row>
    <x:row r="531" ht="68" customHeight="1">
      <x:c r="A531" s="14" t="str">
        <x:v>D-F153A793</x:v>
      </x:c>
      <x:c r="B531" s="14" t="str">
        <x:v>在线阅读</x:v>
      </x:c>
      <x:c r="C531" s="14" t="str">
        <x:v>Revelle 的 personality-project（大量免费教程）</x:v>
      </x:c>
      <x:c r="D531" s="14" t="str">
        <x:v>英文</x:v>
      </x:c>
      <x:c r="E531" s="15" t="str">
        <x:v>未处理</x:v>
      </x:c>
      <x:c r="F531" s="15" t="str"/>
      <x:c r="G531" s="16" t="str">
        <x:v>https://personality-project.org/r/</x:v>
      </x:c>
      <x:c r="H531" s="14" t="str">
        <x:v>B02</x:v>
      </x:c>
      <x:c r="I531" s="14" t="str">
        <x:v>方法/软件项目</x:v>
      </x:c>
      <x:c r="J531" s="18" t="str"/>
      <x:c r="K531" s="14" t="str">
        <x:v>教材 / 说明书 / 网页</x:v>
      </x:c>
      <x:c r="L531" s="14" t="str">
        <x:v>选读</x:v>
      </x:c>
      <x:c r="M531" s="14" t="str">
        <x:v>以网页课程、在线章节或项目文档形式提供。</x:v>
      </x:c>
      <x:c r="N531" s="14" t="str">
        <x:v>打开官方入口，使用站点提供的下载功能；网页教程可继续在线使用。</x:v>
      </x:c>
      <x:c r="O531" s="14" t="str">
        <x:v>本条目的方法说明、参数、示例或诊断入口。</x:v>
      </x:c>
      <x:c r="P531" s="14" t="str"/>
      <x:c r="Q531" s="14" t="str"/>
      <x:c r="R531" s="17"/>
      <x:c r="S531" s="14" t="str"/>
      <x:c r="T531" s="14" t="str"/>
      <x:c r="U531" s="19" t="n">
        <x:v>46303</x:v>
      </x:c>
    </x:row>
    <x:row r="532" ht="68" customHeight="1">
      <x:c r="A532" s="14" t="str">
        <x:v>D-75004437</x:v>
      </x:c>
      <x:c r="B532" s="14" t="str">
        <x:v>在线阅读</x:v>
      </x:c>
      <x:c r="C532" s="14" t="str">
        <x:v>irr 包（各类一致性系数）</x:v>
      </x:c>
      <x:c r="D532" s="14" t="str">
        <x:v>英文</x:v>
      </x:c>
      <x:c r="E532" s="15" t="str">
        <x:v>未处理</x:v>
      </x:c>
      <x:c r="F532" s="15" t="str"/>
      <x:c r="G532" s="16" t="str">
        <x:v>https://cran.r-project.org/package=irr</x:v>
      </x:c>
      <x:c r="H532" s="14" t="str">
        <x:v>B03</x:v>
      </x:c>
      <x:c r="I532" s="14" t="str">
        <x:v>方法/软件项目</x:v>
      </x:c>
      <x:c r="J532" s="18" t="str"/>
      <x:c r="K532" s="14" t="str">
        <x:v>教材 / 说明书 / 网页</x:v>
      </x:c>
      <x:c r="L532" s="14" t="str">
        <x:v>选读</x:v>
      </x:c>
      <x:c r="M532" s="14" t="str">
        <x:v>以网页课程、在线章节或项目文档形式提供。</x:v>
      </x:c>
      <x:c r="N532" s="14" t="str">
        <x:v>打开官方入口，使用站点提供的下载功能；网页教程可继续在线使用。</x:v>
      </x:c>
      <x:c r="O532" s="14" t="str">
        <x:v>本条目的方法说明、参数、示例或诊断入口。</x:v>
      </x:c>
      <x:c r="P532" s="14" t="str"/>
      <x:c r="Q532" s="14" t="str"/>
      <x:c r="R532" s="17"/>
      <x:c r="S532" s="14" t="str"/>
      <x:c r="T532" s="14" t="str"/>
      <x:c r="U532" s="19" t="n">
        <x:v>46303</x:v>
      </x:c>
    </x:row>
    <x:row r="533" ht="68" customHeight="1">
      <x:c r="A533" s="14" t="str">
        <x:v>D-F209F562</x:v>
      </x:c>
      <x:c r="B533" s="14" t="str">
        <x:v>在线阅读</x:v>
      </x:c>
      <x:c r="C533" s="14" t="str">
        <x:v>semTools（HTMT、区分效度、等值）</x:v>
      </x:c>
      <x:c r="D533" s="14" t="str">
        <x:v>英文</x:v>
      </x:c>
      <x:c r="E533" s="15" t="str">
        <x:v>未处理</x:v>
      </x:c>
      <x:c r="F533" s="15" t="str"/>
      <x:c r="G533" s="16" t="str">
        <x:v>https://cran.r-project.org/package=semTools</x:v>
      </x:c>
      <x:c r="H533" s="14" t="str">
        <x:v>B04；B06；B09；E01；E02；E03；E04；E05；E06；E07；E08；E09；E10</x:v>
      </x:c>
      <x:c r="I533" s="14" t="str">
        <x:v>方法/软件项目</x:v>
      </x:c>
      <x:c r="J533" s="18" t="str"/>
      <x:c r="K533" s="14" t="str">
        <x:v>教材 / 说明书 / 网页</x:v>
      </x:c>
      <x:c r="L533" s="14" t="str">
        <x:v>选读</x:v>
      </x:c>
      <x:c r="M533" s="14" t="str">
        <x:v>以网页课程、在线章节或项目文档形式提供。</x:v>
      </x:c>
      <x:c r="N533" s="14" t="str">
        <x:v>打开官方入口，使用站点提供的下载功能；网页教程可继续在线使用。</x:v>
      </x:c>
      <x:c r="O533" s="14" t="str">
        <x:v>本条目的方法说明、参数、示例或诊断入口。</x:v>
      </x:c>
      <x:c r="P533" s="14" t="str"/>
      <x:c r="Q533" s="14" t="str"/>
      <x:c r="R533" s="17"/>
      <x:c r="S533" s="14" t="str"/>
      <x:c r="T533" s="14" t="str"/>
      <x:c r="U533" s="19" t="n">
        <x:v>46303</x:v>
      </x:c>
    </x:row>
    <x:row r="534" ht="68" customHeight="1">
      <x:c r="A534" s="14" t="str">
        <x:v>D-2E0FAAFA</x:v>
      </x:c>
      <x:c r="B534" s="14" t="str">
        <x:v>在线阅读</x:v>
      </x:c>
      <x:c r="C534" s="14" t="str">
        <x:v>lavaan 官方教程</x:v>
      </x:c>
      <x:c r="D534" s="14" t="str">
        <x:v>英文</x:v>
      </x:c>
      <x:c r="E534" s="15" t="str">
        <x:v>未处理</x:v>
      </x:c>
      <x:c r="F534" s="15" t="str"/>
      <x:c r="G534" s="16" t="str">
        <x:v>https://lavaan.ugent.be/tutorial/</x:v>
      </x:c>
      <x:c r="H534" s="14" t="str">
        <x:v>B04；B08；D07；E01；E03；E05；E07；F02</x:v>
      </x:c>
      <x:c r="I534" s="14" t="str">
        <x:v>方法/软件项目</x:v>
      </x:c>
      <x:c r="J534" s="18" t="str"/>
      <x:c r="K534" s="14" t="str">
        <x:v>教材 / 说明书 / 网页</x:v>
      </x:c>
      <x:c r="L534" s="14" t="str">
        <x:v>选读</x:v>
      </x:c>
      <x:c r="M534" s="14" t="str">
        <x:v>以网页课程、在线章节或项目文档形式提供。</x:v>
      </x:c>
      <x:c r="N534" s="14" t="str">
        <x:v>打开官方入口，使用站点提供的下载功能；网页教程可继续在线使用。</x:v>
      </x:c>
      <x:c r="O534" s="14" t="str">
        <x:v>本条目的方法说明、参数、示例或诊断入口。</x:v>
      </x:c>
      <x:c r="P534" s="14" t="str"/>
      <x:c r="Q534" s="14" t="str"/>
      <x:c r="R534" s="17"/>
      <x:c r="S534" s="14" t="str"/>
      <x:c r="T534" s="14" t="str"/>
      <x:c r="U534" s="19" t="n">
        <x:v>46303</x:v>
      </x:c>
    </x:row>
    <x:row r="535" ht="68" customHeight="1">
      <x:c r="A535" s="14" t="str">
        <x:v>D-6C1916A5</x:v>
      </x:c>
      <x:c r="B535" s="14" t="str">
        <x:v>在线阅读</x:v>
      </x:c>
      <x:c r="C535" s="14" t="str">
        <x:v>EGAnet 包（探索性图分析）</x:v>
      </x:c>
      <x:c r="D535" s="14" t="str">
        <x:v>英文</x:v>
      </x:c>
      <x:c r="E535" s="15" t="str">
        <x:v>未处理</x:v>
      </x:c>
      <x:c r="F535" s="15" t="str"/>
      <x:c r="G535" s="16" t="str">
        <x:v>https://cran.r-project.org/package=EGAnet</x:v>
      </x:c>
      <x:c r="H535" s="14" t="str">
        <x:v>B05</x:v>
      </x:c>
      <x:c r="I535" s="14" t="str">
        <x:v>方法/软件项目</x:v>
      </x:c>
      <x:c r="J535" s="18" t="str"/>
      <x:c r="K535" s="14" t="str">
        <x:v>教材 / 说明书 / 网页</x:v>
      </x:c>
      <x:c r="L535" s="14" t="str">
        <x:v>选读</x:v>
      </x:c>
      <x:c r="M535" s="14" t="str">
        <x:v>以网页课程、在线章节或项目文档形式提供。</x:v>
      </x:c>
      <x:c r="N535" s="14" t="str">
        <x:v>打开官方入口，使用站点提供的下载功能；网页教程可继续在线使用。</x:v>
      </x:c>
      <x:c r="O535" s="14" t="str">
        <x:v>本条目的方法说明、参数、示例或诊断入口。</x:v>
      </x:c>
      <x:c r="P535" s="14" t="str"/>
      <x:c r="Q535" s="14" t="str"/>
      <x:c r="R535" s="17"/>
      <x:c r="S535" s="14" t="str"/>
      <x:c r="T535" s="14" t="str"/>
      <x:c r="U535" s="19" t="n">
        <x:v>46303</x:v>
      </x:c>
    </x:row>
    <x:row r="536" ht="68" customHeight="1">
      <x:c r="A536" s="14" t="str">
        <x:v>D-1BD7F6E1</x:v>
      </x:c>
      <x:c r="B536" s="14" t="str">
        <x:v>在线阅读</x:v>
      </x:c>
      <x:c r="C536" s="14" t="str">
        <x:v>Mplus 官方课程资料</x:v>
      </x:c>
      <x:c r="D536" s="14" t="str">
        <x:v>英文</x:v>
      </x:c>
      <x:c r="E536" s="15" t="str">
        <x:v>未处理</x:v>
      </x:c>
      <x:c r="F536" s="15" t="str"/>
      <x:c r="G536" s="16" t="str">
        <x:v>https://www.statmodel.com/course_materials.shtml</x:v>
      </x:c>
      <x:c r="H536" s="14" t="str">
        <x:v>B06；B09；E02</x:v>
      </x:c>
      <x:c r="I536" s="14" t="str">
        <x:v>Muthén &amp; Muthén</x:v>
      </x:c>
      <x:c r="J536" s="18" t="str"/>
      <x:c r="K536" s="14" t="str">
        <x:v>教材 / 说明书 / 网页</x:v>
      </x:c>
      <x:c r="L536" s="14" t="str">
        <x:v>选读</x:v>
      </x:c>
      <x:c r="M536" s="14" t="str">
        <x:v>以网页课程、在线章节或项目文档形式提供。</x:v>
      </x:c>
      <x:c r="N536" s="14" t="str">
        <x:v>打开官方入口，使用站点提供的下载功能；网页教程可继续在线使用。</x:v>
      </x:c>
      <x:c r="O536" s="14" t="str">
        <x:v>Mplus 用户的第一手材料</x:v>
      </x:c>
      <x:c r="P536" s="14" t="str"/>
      <x:c r="Q536" s="14" t="str"/>
      <x:c r="R536" s="17"/>
      <x:c r="S536" s="14" t="str"/>
      <x:c r="T536" s="14" t="str"/>
      <x:c r="U536" s="19" t="n">
        <x:v>46303</x:v>
      </x:c>
    </x:row>
    <x:row r="537" ht="68" customHeight="1">
      <x:c r="A537" s="14" t="str">
        <x:v>D-B7FD8B5A</x:v>
      </x:c>
      <x:c r="B537" s="14" t="str">
        <x:v>在线阅读</x:v>
      </x:c>
      <x:c r="C537" s="14" t="str">
        <x:v>lavaan · Confirmatory factor analysis</x:v>
      </x:c>
      <x:c r="D537" s="14" t="str">
        <x:v>英文</x:v>
      </x:c>
      <x:c r="E537" s="15" t="str">
        <x:v>未处理</x:v>
      </x:c>
      <x:c r="F537" s="15" t="str"/>
      <x:c r="G537" s="16" t="str">
        <x:v>https://lavaan.ugent.be/tutorial/cfa.html</x:v>
      </x:c>
      <x:c r="H537" s="14" t="str">
        <x:v>B06；B20；E01；E02；E03；E04；E05；E06；E07；E08；E09；E10</x:v>
      </x:c>
      <x:c r="I537" s="14" t="str">
        <x:v>Yves Rosseel / lavaan 项目</x:v>
      </x:c>
      <x:c r="J537" s="18" t="str"/>
      <x:c r="K537" s="14" t="str">
        <x:v>教学</x:v>
      </x:c>
      <x:c r="L537" s="14" t="str">
        <x:v>选读</x:v>
      </x:c>
      <x:c r="M537" s="14" t="str">
        <x:v>以网页课程、在线章节或项目文档形式提供。</x:v>
      </x:c>
      <x:c r="N537" s="14" t="str">
        <x:v>打开官方入口，使用站点提供的下载功能；网页教程可继续在线使用。</x:v>
      </x:c>
      <x:c r="O537" s="14" t="str">
        <x:v>用 Holzinger–Swineford 教学数据复现三因子 CFA。</x:v>
      </x:c>
      <x:c r="P537" s="14" t="str"/>
      <x:c r="Q537" s="14" t="str"/>
      <x:c r="R537" s="17"/>
      <x:c r="S537" s="14" t="str"/>
      <x:c r="T537" s="14" t="str"/>
      <x:c r="U537" s="19" t="n">
        <x:v>46303</x:v>
      </x:c>
    </x:row>
    <x:row r="538" ht="68" customHeight="1">
      <x:c r="A538" s="14" t="str">
        <x:v>D-2C70C3A8</x:v>
      </x:c>
      <x:c r="B538" s="14" t="str">
        <x:v>在线阅读</x:v>
      </x:c>
      <x:c r="C538" s="14" t="str">
        <x:v>lavaan · 估计方法</x:v>
      </x:c>
      <x:c r="D538" s="14" t="str">
        <x:v>英文</x:v>
      </x:c>
      <x:c r="E538" s="15" t="str">
        <x:v>未处理</x:v>
      </x:c>
      <x:c r="F538" s="15" t="str"/>
      <x:c r="G538" s="16" t="str">
        <x:v>https://lavaan.ugent.be/tutorial/est.html</x:v>
      </x:c>
      <x:c r="H538" s="14" t="str">
        <x:v>B06；E01；E02</x:v>
      </x:c>
      <x:c r="I538" s="14" t="str">
        <x:v>lavaan 官方</x:v>
      </x:c>
      <x:c r="J538" s="18" t="str"/>
      <x:c r="K538" s="14" t="str">
        <x:v>教材 / 说明书 / 网页</x:v>
      </x:c>
      <x:c r="L538" s="14" t="str">
        <x:v>选读</x:v>
      </x:c>
      <x:c r="M538" s="14" t="str">
        <x:v>以网页课程、在线章节或项目文档形式提供。</x:v>
      </x:c>
      <x:c r="N538" s="14" t="str">
        <x:v>打开官方入口，使用站点提供的下载功能；网页教程可继续在线使用。</x:v>
      </x:c>
      <x:c r="O538" s="14" t="str">
        <x:v>ML、稳健检验统计量与 FIML 设置。</x:v>
      </x:c>
      <x:c r="P538" s="14" t="str"/>
      <x:c r="Q538" s="14" t="str"/>
      <x:c r="R538" s="17"/>
      <x:c r="S538" s="14" t="str"/>
      <x:c r="T538" s="14" t="str"/>
      <x:c r="U538" s="19" t="n">
        <x:v>46303</x:v>
      </x:c>
    </x:row>
    <x:row r="539" ht="68" customHeight="1">
      <x:c r="A539" s="14" t="str">
        <x:v>D-C71E5EF7</x:v>
      </x:c>
      <x:c r="B539" s="14" t="str">
        <x:v>在线阅读</x:v>
      </x:c>
      <x:c r="C539" s="14" t="str">
        <x:v>lavaan · 顺序与分类指标</x:v>
      </x:c>
      <x:c r="D539" s="14" t="str">
        <x:v>英文</x:v>
      </x:c>
      <x:c r="E539" s="15" t="str">
        <x:v>未处理</x:v>
      </x:c>
      <x:c r="F539" s="15" t="str"/>
      <x:c r="G539" s="16" t="str">
        <x:v>https://lavaan.ugent.be/tutorial/cat.html</x:v>
      </x:c>
      <x:c r="H539" s="14" t="str">
        <x:v>B06；E02</x:v>
      </x:c>
      <x:c r="I539" s="14" t="str">
        <x:v>lavaan 官方</x:v>
      </x:c>
      <x:c r="J539" s="18" t="str"/>
      <x:c r="K539" s="14" t="str">
        <x:v>教材 / 说明书 / 网页</x:v>
      </x:c>
      <x:c r="L539" s="14" t="str">
        <x:v>选读</x:v>
      </x:c>
      <x:c r="M539" s="14" t="str">
        <x:v>以网页课程、在线章节或项目文档形式提供。</x:v>
      </x:c>
      <x:c r="N539" s="14" t="str">
        <x:v>打开官方入口，使用站点提供的下载功能；网页教程可继续在线使用。</x:v>
      </x:c>
      <x:c r="O539" s="14" t="str">
        <x:v>ordered 指标、WLSMV 及其缺失值处理限制。</x:v>
      </x:c>
      <x:c r="P539" s="14" t="str"/>
      <x:c r="Q539" s="14" t="str"/>
      <x:c r="R539" s="17"/>
      <x:c r="S539" s="14" t="str"/>
      <x:c r="T539" s="14" t="str"/>
      <x:c r="U539" s="19" t="n">
        <x:v>46303</x:v>
      </x:c>
    </x:row>
    <x:row r="540" ht="68" customHeight="1">
      <x:c r="A540" s="14" t="str">
        <x:v>D-59A16C47</x:v>
      </x:c>
      <x:c r="B540" s="14" t="str">
        <x:v>在线阅读</x:v>
      </x:c>
      <x:c r="C540" s="14" t="str">
        <x:v>BifactorIndicesCalculator 包</x:v>
      </x:c>
      <x:c r="D540" s="14" t="str">
        <x:v>英文</x:v>
      </x:c>
      <x:c r="E540" s="15" t="str">
        <x:v>未处理</x:v>
      </x:c>
      <x:c r="F540" s="15" t="str"/>
      <x:c r="G540" s="16" t="str">
        <x:v>https://cran.r-project.org/package=BifactorIndicesCalculator</x:v>
      </x:c>
      <x:c r="H540" s="14" t="str">
        <x:v>B07</x:v>
      </x:c>
      <x:c r="I540" s="14" t="str">
        <x:v>方法/软件项目</x:v>
      </x:c>
      <x:c r="J540" s="18" t="str"/>
      <x:c r="K540" s="14" t="str">
        <x:v>教材 / 说明书 / 网页</x:v>
      </x:c>
      <x:c r="L540" s="14" t="str">
        <x:v>选读</x:v>
      </x:c>
      <x:c r="M540" s="14" t="str">
        <x:v>以网页课程、在线章节或项目文档形式提供。</x:v>
      </x:c>
      <x:c r="N540" s="14" t="str">
        <x:v>打开官方入口，使用站点提供的下载功能；网页教程可继续在线使用。</x:v>
      </x:c>
      <x:c r="O540" s="14" t="str">
        <x:v>本条目的方法说明、参数、示例或诊断入口。</x:v>
      </x:c>
      <x:c r="P540" s="14" t="str"/>
      <x:c r="Q540" s="14" t="str"/>
      <x:c r="R540" s="17"/>
      <x:c r="S540" s="14" t="str"/>
      <x:c r="T540" s="14" t="str"/>
      <x:c r="U540" s="19" t="n">
        <x:v>46303</x:v>
      </x:c>
    </x:row>
    <x:row r="541" ht="68" customHeight="1">
      <x:c r="A541" s="14" t="str">
        <x:v>D-1FAABF79</x:v>
      </x:c>
      <x:c r="B541" s="14" t="str">
        <x:v>在线阅读</x:v>
      </x:c>
      <x:c r="C541" s="14" t="str">
        <x:v>Mplus ESEM 示例</x:v>
      </x:c>
      <x:c r="D541" s="14" t="str">
        <x:v>英文</x:v>
      </x:c>
      <x:c r="E541" s="15" t="str">
        <x:v>未处理</x:v>
      </x:c>
      <x:c r="F541" s="15" t="str"/>
      <x:c r="G541" s="16" t="str">
        <x:v>https://www.statmodel.com/ESEM.shtml</x:v>
      </x:c>
      <x:c r="H541" s="14" t="str">
        <x:v>B08</x:v>
      </x:c>
      <x:c r="I541" s="14" t="str">
        <x:v>方法/软件项目</x:v>
      </x:c>
      <x:c r="J541" s="18" t="str"/>
      <x:c r="K541" s="14" t="str">
        <x:v>教材 / 说明书 / 网页</x:v>
      </x:c>
      <x:c r="L541" s="14" t="str">
        <x:v>选读</x:v>
      </x:c>
      <x:c r="M541" s="14" t="str">
        <x:v>以网页课程、在线章节或项目文档形式提供。</x:v>
      </x:c>
      <x:c r="N541" s="14" t="str">
        <x:v>打开官方入口，使用站点提供的下载功能；网页教程可继续在线使用。</x:v>
      </x:c>
      <x:c r="O541" s="14" t="str">
        <x:v>本条目的方法说明、参数、示例或诊断入口。</x:v>
      </x:c>
      <x:c r="P541" s="14" t="str"/>
      <x:c r="Q541" s="14" t="str"/>
      <x:c r="R541" s="17"/>
      <x:c r="S541" s="14" t="str"/>
      <x:c r="T541" s="14" t="str"/>
      <x:c r="U541" s="19" t="n">
        <x:v>46303</x:v>
      </x:c>
    </x:row>
    <x:row r="542" ht="68" customHeight="1">
      <x:c r="A542" s="14" t="str">
        <x:v>D-F13CE176</x:v>
      </x:c>
      <x:c r="B542" s="14" t="str">
        <x:v>在线阅读</x:v>
      </x:c>
      <x:c r="C542" s="14" t="str">
        <x:v>lavaan · Multiple groups</x:v>
      </x:c>
      <x:c r="D542" s="14" t="str">
        <x:v>英文</x:v>
      </x:c>
      <x:c r="E542" s="15" t="str">
        <x:v>未处理</x:v>
      </x:c>
      <x:c r="F542" s="15" t="str"/>
      <x:c r="G542" s="16" t="str">
        <x:v>https://lavaan.ugent.be/tutorial/groups.html</x:v>
      </x:c>
      <x:c r="H542" s="14" t="str">
        <x:v>B09；B19</x:v>
      </x:c>
      <x:c r="I542" s="14" t="str">
        <x:v>lavaan 项目</x:v>
      </x:c>
      <x:c r="J542" s="18" t="str"/>
      <x:c r="K542" s="14" t="str">
        <x:v>教学</x:v>
      </x:c>
      <x:c r="L542" s="14" t="str">
        <x:v>选读</x:v>
      </x:c>
      <x:c r="M542" s="14" t="str">
        <x:v>以网页课程、在线章节或项目文档形式提供。</x:v>
      </x:c>
      <x:c r="N542" s="14" t="str">
        <x:v>打开官方入口，使用站点提供的下载功能；网页教程可继续在线使用。</x:v>
      </x:c>
      <x:c r="O542" s="14" t="str">
        <x:v>跨组参数约束与测量等值性。</x:v>
      </x:c>
      <x:c r="P542" s="14" t="str"/>
      <x:c r="Q542" s="14" t="str"/>
      <x:c r="R542" s="17"/>
      <x:c r="S542" s="14" t="str"/>
      <x:c r="T542" s="14" t="str"/>
      <x:c r="U542" s="19" t="n">
        <x:v>46303</x:v>
      </x:c>
    </x:row>
    <x:row r="543" ht="68" customHeight="1">
      <x:c r="A543" s="14" t="str">
        <x:v>D-6EDAE88D</x:v>
      </x:c>
      <x:c r="B543" s="14" t="str">
        <x:v>在线阅读</x:v>
      </x:c>
      <x:c r="C543" s="14" t="str">
        <x:v>Mplus 对齐法官方页</x:v>
      </x:c>
      <x:c r="D543" s="14" t="str">
        <x:v>英文</x:v>
      </x:c>
      <x:c r="E543" s="15" t="str">
        <x:v>未处理</x:v>
      </x:c>
      <x:c r="F543" s="15" t="str"/>
      <x:c r="G543" s="16" t="str">
        <x:v>https://www.statmodel.com/Alignment.shtml</x:v>
      </x:c>
      <x:c r="H543" s="14" t="str">
        <x:v>B10</x:v>
      </x:c>
      <x:c r="I543" s="14" t="str">
        <x:v>方法/软件项目</x:v>
      </x:c>
      <x:c r="J543" s="18" t="str"/>
      <x:c r="K543" s="14" t="str">
        <x:v>教材 / 说明书 / 网页</x:v>
      </x:c>
      <x:c r="L543" s="14" t="str">
        <x:v>选读</x:v>
      </x:c>
      <x:c r="M543" s="14" t="str">
        <x:v>以网页课程、在线章节或项目文档形式提供。</x:v>
      </x:c>
      <x:c r="N543" s="14" t="str">
        <x:v>打开官方入口，使用站点提供的下载功能；网页教程可继续在线使用。</x:v>
      </x:c>
      <x:c r="O543" s="14" t="str">
        <x:v>本条目的方法说明、参数、示例或诊断入口。</x:v>
      </x:c>
      <x:c r="P543" s="14" t="str"/>
      <x:c r="Q543" s="14" t="str"/>
      <x:c r="R543" s="17"/>
      <x:c r="S543" s="14" t="str"/>
      <x:c r="T543" s="14" t="str"/>
      <x:c r="U543" s="19" t="n">
        <x:v>46303</x:v>
      </x:c>
    </x:row>
    <x:row r="544" ht="68" customHeight="1">
      <x:c r="A544" s="14" t="str">
        <x:v>D-B835C410</x:v>
      </x:c>
      <x:c r="B544" s="14" t="str">
        <x:v>在线阅读</x:v>
      </x:c>
      <x:c r="C544" s="14" t="str">
        <x:v>sirt 包（R 实现）</x:v>
      </x:c>
      <x:c r="D544" s="14" t="str">
        <x:v>英文</x:v>
      </x:c>
      <x:c r="E544" s="15" t="str">
        <x:v>未处理</x:v>
      </x:c>
      <x:c r="F544" s="15" t="str"/>
      <x:c r="G544" s="16" t="str">
        <x:v>https://cran.r-project.org/package=sirt</x:v>
      </x:c>
      <x:c r="H544" s="14" t="str">
        <x:v>B10</x:v>
      </x:c>
      <x:c r="I544" s="14" t="str">
        <x:v>方法/软件项目</x:v>
      </x:c>
      <x:c r="J544" s="18" t="str"/>
      <x:c r="K544" s="14" t="str">
        <x:v>教材 / 说明书 / 网页</x:v>
      </x:c>
      <x:c r="L544" s="14" t="str">
        <x:v>选读</x:v>
      </x:c>
      <x:c r="M544" s="14" t="str">
        <x:v>以网页课程、在线章节或项目文档形式提供。</x:v>
      </x:c>
      <x:c r="N544" s="14" t="str">
        <x:v>打开官方入口，使用站点提供的下载功能；网页教程可继续在线使用。</x:v>
      </x:c>
      <x:c r="O544" s="14" t="str">
        <x:v>本条目的方法说明、参数、示例或诊断入口。</x:v>
      </x:c>
      <x:c r="P544" s="14" t="str"/>
      <x:c r="Q544" s="14" t="str"/>
      <x:c r="R544" s="17"/>
      <x:c r="S544" s="14" t="str"/>
      <x:c r="T544" s="14" t="str"/>
      <x:c r="U544" s="19" t="n">
        <x:v>46303</x:v>
      </x:c>
    </x:row>
    <x:row r="545" ht="68" customHeight="1">
      <x:c r="A545" s="14" t="str">
        <x:v>D-76174395</x:v>
      </x:c>
      <x:c r="B545" s="14" t="str">
        <x:v>在线阅读</x:v>
      </x:c>
      <x:c r="C545" s="14" t="str">
        <x:v>TAM 包（大规模评估常用）</x:v>
      </x:c>
      <x:c r="D545" s="14" t="str">
        <x:v>英文</x:v>
      </x:c>
      <x:c r="E545" s="15" t="str">
        <x:v>未处理</x:v>
      </x:c>
      <x:c r="F545" s="15" t="str"/>
      <x:c r="G545" s="16" t="str">
        <x:v>https://cran.r-project.org/package=TAM</x:v>
      </x:c>
      <x:c r="H545" s="14" t="str">
        <x:v>B11</x:v>
      </x:c>
      <x:c r="I545" s="14" t="str">
        <x:v>方法/软件项目</x:v>
      </x:c>
      <x:c r="J545" s="18" t="str"/>
      <x:c r="K545" s="14" t="str">
        <x:v>教材 / 说明书 / 网页</x:v>
      </x:c>
      <x:c r="L545" s="14" t="str">
        <x:v>选读</x:v>
      </x:c>
      <x:c r="M545" s="14" t="str">
        <x:v>以网页课程、在线章节或项目文档形式提供。</x:v>
      </x:c>
      <x:c r="N545" s="14" t="str">
        <x:v>打开官方入口，使用站点提供的下载功能；网页教程可继续在线使用。</x:v>
      </x:c>
      <x:c r="O545" s="14" t="str">
        <x:v>本条目的方法说明、参数、示例或诊断入口。</x:v>
      </x:c>
      <x:c r="P545" s="14" t="str"/>
      <x:c r="Q545" s="14" t="str"/>
      <x:c r="R545" s="17"/>
      <x:c r="S545" s="14" t="str"/>
      <x:c r="T545" s="14" t="str"/>
      <x:c r="U545" s="19" t="n">
        <x:v>46303</x:v>
      </x:c>
    </x:row>
    <x:row r="546" ht="68" customHeight="1">
      <x:c r="A546" s="14" t="str">
        <x:v>D-442A323C</x:v>
      </x:c>
      <x:c r="B546" s="14" t="str">
        <x:v>在线阅读</x:v>
      </x:c>
      <x:c r="C546" s="14" t="str">
        <x:v>mirt 包官方文档</x:v>
      </x:c>
      <x:c r="D546" s="14" t="str">
        <x:v>英文</x:v>
      </x:c>
      <x:c r="E546" s="15" t="str">
        <x:v>未处理</x:v>
      </x:c>
      <x:c r="F546" s="15" t="str"/>
      <x:c r="G546" s="16" t="str">
        <x:v>https://philchalmers.github.io/mirt/</x:v>
      </x:c>
      <x:c r="H546" s="14" t="str">
        <x:v>B11；B12</x:v>
      </x:c>
      <x:c r="I546" s="14" t="str">
        <x:v>方法/软件项目</x:v>
      </x:c>
      <x:c r="J546" s="18" t="str"/>
      <x:c r="K546" s="14" t="str">
        <x:v>教材 / 说明书 / 网页</x:v>
      </x:c>
      <x:c r="L546" s="14" t="str">
        <x:v>选读</x:v>
      </x:c>
      <x:c r="M546" s="14" t="str">
        <x:v>以网页课程、在线章节或项目文档形式提供。</x:v>
      </x:c>
      <x:c r="N546" s="14" t="str">
        <x:v>打开官方入口，使用站点提供的下载功能；网页教程可继续在线使用。</x:v>
      </x:c>
      <x:c r="O546" s="14" t="str">
        <x:v>本条目的方法说明、参数、示例或诊断入口。</x:v>
      </x:c>
      <x:c r="P546" s="14" t="str"/>
      <x:c r="Q546" s="14" t="str"/>
      <x:c r="R546" s="17"/>
      <x:c r="S546" s="14" t="str"/>
      <x:c r="T546" s="14" t="str"/>
      <x:c r="U546" s="19" t="n">
        <x:v>46303</x:v>
      </x:c>
    </x:row>
    <x:row r="547" ht="68" customHeight="1">
      <x:c r="A547" s="14" t="str">
        <x:v>D-D8291CC0</x:v>
      </x:c>
      <x:c r="B547" s="14" t="str">
        <x:v>在线阅读</x:v>
      </x:c>
      <x:c r="C547" s="14" t="str">
        <x:v>认知诊断模型发展及其应用方法述评</x:v>
      </x:c>
      <x:c r="D547" s="14" t="str">
        <x:v>中文</x:v>
      </x:c>
      <x:c r="E547" s="15" t="str">
        <x:v>未处理</x:v>
      </x:c>
      <x:c r="F547" s="15" t="str"/>
      <x:c r="G547" s="16" t="str">
        <x:v>https://journal.psych.ac.cn/xlkxjz/CN/Y2010/V18/I3/522</x:v>
      </x:c>
      <x:c r="H547" s="14" t="str">
        <x:v>B11；B12；B13；B21</x:v>
      </x:c>
      <x:c r="I547" s="14" t="str">
        <x:v>心理科学进展</x:v>
      </x:c>
      <x:c r="J547" s="18" t="str"/>
      <x:c r="K547" s="14" t="str">
        <x:v>教材 / 说明书 / 网页</x:v>
      </x:c>
      <x:c r="L547" s="14" t="str">
        <x:v>选读</x:v>
      </x:c>
      <x:c r="M547" s="14" t="str">
        <x:v>以网页课程、在线章节或项目文档形式提供。</x:v>
      </x:c>
      <x:c r="N547" s="14" t="str">
        <x:v>打开官方入口，使用站点提供的下载功能；网页教程可继续在线使用。</x:v>
      </x:c>
      <x:c r="O547" s="14" t="str">
        <x:v>认知诊断的模型、应用与测量背景。</x:v>
      </x:c>
      <x:c r="P547" s="14" t="str"/>
      <x:c r="Q547" s="14" t="str"/>
      <x:c r="R547" s="17"/>
      <x:c r="S547" s="14" t="str"/>
      <x:c r="T547" s="14" t="str"/>
      <x:c r="U547" s="19" t="n">
        <x:v>46303</x:v>
      </x:c>
    </x:row>
    <x:row r="548" ht="68" customHeight="1">
      <x:c r="A548" s="14" t="str">
        <x:v>D-2D217F79</x:v>
      </x:c>
      <x:c r="B548" s="14" t="str">
        <x:v>在线阅读</x:v>
      </x:c>
      <x:c r="C548" s="14" t="str">
        <x:v>difR 包</x:v>
      </x:c>
      <x:c r="D548" s="14" t="str">
        <x:v>英文</x:v>
      </x:c>
      <x:c r="E548" s="15" t="str">
        <x:v>未处理</x:v>
      </x:c>
      <x:c r="F548" s="15" t="str"/>
      <x:c r="G548" s="16" t="str">
        <x:v>https://cran.r-project.org/package=difR</x:v>
      </x:c>
      <x:c r="H548" s="14" t="str">
        <x:v>B13</x:v>
      </x:c>
      <x:c r="I548" s="14" t="str">
        <x:v>方法/软件项目</x:v>
      </x:c>
      <x:c r="J548" s="18" t="str"/>
      <x:c r="K548" s="14" t="str">
        <x:v>教材 / 说明书 / 网页</x:v>
      </x:c>
      <x:c r="L548" s="14" t="str">
        <x:v>选读</x:v>
      </x:c>
      <x:c r="M548" s="14" t="str">
        <x:v>以网页课程、在线章节或项目文档形式提供。</x:v>
      </x:c>
      <x:c r="N548" s="14" t="str">
        <x:v>打开官方入口，使用站点提供的下载功能；网页教程可继续在线使用。</x:v>
      </x:c>
      <x:c r="O548" s="14" t="str">
        <x:v>本条目的方法说明、参数、示例或诊断入口。</x:v>
      </x:c>
      <x:c r="P548" s="14" t="str"/>
      <x:c r="Q548" s="14" t="str"/>
      <x:c r="R548" s="17"/>
      <x:c r="S548" s="14" t="str"/>
      <x:c r="T548" s="14" t="str"/>
      <x:c r="U548" s="19" t="n">
        <x:v>46303</x:v>
      </x:c>
    </x:row>
    <x:row r="549" ht="68" customHeight="1">
      <x:c r="A549" s="14" t="str">
        <x:v>D-27CC3CD7</x:v>
      </x:c>
      <x:c r="B549" s="14" t="str">
        <x:v>在线阅读</x:v>
      </x:c>
      <x:c r="C549" s="14" t="str">
        <x:v>mirtCAT 包（自适应测验仿真）</x:v>
      </x:c>
      <x:c r="D549" s="14" t="str">
        <x:v>英文</x:v>
      </x:c>
      <x:c r="E549" s="15" t="str">
        <x:v>未处理</x:v>
      </x:c>
      <x:c r="F549" s="15" t="str"/>
      <x:c r="G549" s="16" t="str">
        <x:v>https://cran.r-project.org/package=mirtCAT</x:v>
      </x:c>
      <x:c r="H549" s="14" t="str">
        <x:v>B13</x:v>
      </x:c>
      <x:c r="I549" s="14" t="str">
        <x:v>方法/软件项目</x:v>
      </x:c>
      <x:c r="J549" s="18" t="str"/>
      <x:c r="K549" s="14" t="str">
        <x:v>教材 / 说明书 / 网页</x:v>
      </x:c>
      <x:c r="L549" s="14" t="str">
        <x:v>选读</x:v>
      </x:c>
      <x:c r="M549" s="14" t="str">
        <x:v>以网页课程、在线章节或项目文档形式提供。</x:v>
      </x:c>
      <x:c r="N549" s="14" t="str">
        <x:v>打开官方入口，使用站点提供的下载功能；网页教程可继续在线使用。</x:v>
      </x:c>
      <x:c r="O549" s="14" t="str">
        <x:v>本条目的方法说明、参数、示例或诊断入口。</x:v>
      </x:c>
      <x:c r="P549" s="14" t="str"/>
      <x:c r="Q549" s="14" t="str"/>
      <x:c r="R549" s="17"/>
      <x:c r="S549" s="14" t="str"/>
      <x:c r="T549" s="14" t="str"/>
      <x:c r="U549" s="19" t="n">
        <x:v>46303</x:v>
      </x:c>
    </x:row>
    <x:row r="550" ht="68" customHeight="1">
      <x:c r="A550" s="14" t="str">
        <x:v>D-96882C98</x:v>
      </x:c>
      <x:c r="B550" s="14" t="str">
        <x:v>在线阅读</x:v>
      </x:c>
      <x:c r="C550" s="14" t="str">
        <x:v>tidyLPA 包</x:v>
      </x:c>
      <x:c r="D550" s="14" t="str">
        <x:v>英文</x:v>
      </x:c>
      <x:c r="E550" s="15" t="str">
        <x:v>未处理</x:v>
      </x:c>
      <x:c r="F550" s="15" t="str"/>
      <x:c r="G550" s="16" t="str">
        <x:v>https://data-edu.github.io/tidyLPA/</x:v>
      </x:c>
      <x:c r="H550" s="14" t="str">
        <x:v>B14</x:v>
      </x:c>
      <x:c r="I550" s="14" t="str">
        <x:v>方法/软件项目</x:v>
      </x:c>
      <x:c r="J550" s="18" t="str"/>
      <x:c r="K550" s="14" t="str">
        <x:v>教材 / 说明书 / 网页</x:v>
      </x:c>
      <x:c r="L550" s="14" t="str">
        <x:v>选读</x:v>
      </x:c>
      <x:c r="M550" s="14" t="str">
        <x:v>以网页课程、在线章节或项目文档形式提供。</x:v>
      </x:c>
      <x:c r="N550" s="14" t="str">
        <x:v>打开官方入口，使用站点提供的下载功能；网页教程可继续在线使用。</x:v>
      </x:c>
      <x:c r="O550" s="14" t="str">
        <x:v>本条目的方法说明、参数、示例或诊断入口。</x:v>
      </x:c>
      <x:c r="P550" s="14" t="str"/>
      <x:c r="Q550" s="14" t="str"/>
      <x:c r="R550" s="17"/>
      <x:c r="S550" s="14" t="str"/>
      <x:c r="T550" s="14" t="str"/>
      <x:c r="U550" s="19" t="n">
        <x:v>46303</x:v>
      </x:c>
    </x:row>
    <x:row r="551" ht="68" customHeight="1">
      <x:c r="A551" s="14" t="str">
        <x:v>D-98184653</x:v>
      </x:c>
      <x:c r="B551" s="14" t="str">
        <x:v>在线阅读</x:v>
      </x:c>
      <x:c r="C551" s="14" t="str">
        <x:v>Mplus 混合模型示例</x:v>
      </x:c>
      <x:c r="D551" s="14" t="str">
        <x:v>英文</x:v>
      </x:c>
      <x:c r="E551" s="15" t="str">
        <x:v>未处理</x:v>
      </x:c>
      <x:c r="F551" s="15" t="str"/>
      <x:c r="G551" s="16" t="str">
        <x:v>https://www.statmodel.com/ugexcerpts.shtml</x:v>
      </x:c>
      <x:c r="H551" s="14" t="str">
        <x:v>B14；E04；E05；E06；F02</x:v>
      </x:c>
      <x:c r="I551" s="14" t="str">
        <x:v>方法/软件项目</x:v>
      </x:c>
      <x:c r="J551" s="18" t="str"/>
      <x:c r="K551" s="14" t="str">
        <x:v>教材 / 说明书 / 网页</x:v>
      </x:c>
      <x:c r="L551" s="14" t="str">
        <x:v>选读</x:v>
      </x:c>
      <x:c r="M551" s="14" t="str">
        <x:v>以网页课程、在线章节或项目文档形式提供。</x:v>
      </x:c>
      <x:c r="N551" s="14" t="str">
        <x:v>打开官方入口，使用站点提供的下载功能；网页教程可继续在线使用。</x:v>
      </x:c>
      <x:c r="O551" s="14" t="str">
        <x:v>本条目的方法说明、参数、示例或诊断入口。</x:v>
      </x:c>
      <x:c r="P551" s="14" t="str"/>
      <x:c r="Q551" s="14" t="str"/>
      <x:c r="R551" s="17"/>
      <x:c r="S551" s="14" t="str"/>
      <x:c r="T551" s="14" t="str"/>
      <x:c r="U551" s="19" t="n">
        <x:v>46303</x:v>
      </x:c>
    </x:row>
    <x:row r="552" ht="68" customHeight="1">
      <x:c r="A552" s="14" t="str">
        <x:v>D-759E2E13</x:v>
      </x:c>
      <x:c r="B552" s="14" t="str">
        <x:v>在线阅读</x:v>
      </x:c>
      <x:c r="C552" s="14" t="str">
        <x:v>bootnet 包（估计 + 稳定性）</x:v>
      </x:c>
      <x:c r="D552" s="14" t="str">
        <x:v>英文</x:v>
      </x:c>
      <x:c r="E552" s="15" t="str">
        <x:v>未处理</x:v>
      </x:c>
      <x:c r="F552" s="15" t="str"/>
      <x:c r="G552" s="16" t="str">
        <x:v>https://cran.r-project.org/package=bootnet</x:v>
      </x:c>
      <x:c r="H552" s="14" t="str">
        <x:v>B15</x:v>
      </x:c>
      <x:c r="I552" s="14" t="str">
        <x:v>方法/软件项目</x:v>
      </x:c>
      <x:c r="J552" s="18" t="str"/>
      <x:c r="K552" s="14" t="str">
        <x:v>教材 / 说明书 / 网页</x:v>
      </x:c>
      <x:c r="L552" s="14" t="str">
        <x:v>选读</x:v>
      </x:c>
      <x:c r="M552" s="14" t="str">
        <x:v>以网页课程、在线章节或项目文档形式提供。</x:v>
      </x:c>
      <x:c r="N552" s="14" t="str">
        <x:v>打开官方入口，使用站点提供的下载功能；网页教程可继续在线使用。</x:v>
      </x:c>
      <x:c r="O552" s="14" t="str">
        <x:v>本条目的方法说明、参数、示例或诊断入口。</x:v>
      </x:c>
      <x:c r="P552" s="14" t="str"/>
      <x:c r="Q552" s="14" t="str"/>
      <x:c r="R552" s="17"/>
      <x:c r="S552" s="14" t="str"/>
      <x:c r="T552" s="14" t="str"/>
      <x:c r="U552" s="19" t="n">
        <x:v>46303</x:v>
      </x:c>
    </x:row>
    <x:row r="553" ht="68" customHeight="1">
      <x:c r="A553" s="14" t="str">
        <x:v>D-DF37920D</x:v>
      </x:c>
      <x:c r="B553" s="14" t="str">
        <x:v>在线阅读</x:v>
      </x:c>
      <x:c r="C553" s="14" t="str">
        <x:v>Psychological Networks 教程与资源站</x:v>
      </x:c>
      <x:c r="D553" s="14" t="str">
        <x:v>英文</x:v>
      </x:c>
      <x:c r="E553" s="15" t="str">
        <x:v>未处理</x:v>
      </x:c>
      <x:c r="F553" s="15" t="str"/>
      <x:c r="G553" s="16" t="str">
        <x:v>http://psychosystems.org/</x:v>
      </x:c>
      <x:c r="H553" s="14" t="str">
        <x:v>B15</x:v>
      </x:c>
      <x:c r="I553" s="14" t="str">
        <x:v>方法/软件项目</x:v>
      </x:c>
      <x:c r="J553" s="18" t="str"/>
      <x:c r="K553" s="14" t="str">
        <x:v>教材 / 说明书 / 网页</x:v>
      </x:c>
      <x:c r="L553" s="14" t="str">
        <x:v>选读</x:v>
      </x:c>
      <x:c r="M553" s="14" t="str">
        <x:v>以网页课程、在线章节或项目文档形式提供。</x:v>
      </x:c>
      <x:c r="N553" s="14" t="str">
        <x:v>打开官方入口，使用站点提供的下载功能；网页教程可继续在线使用。</x:v>
      </x:c>
      <x:c r="O553" s="14" t="str">
        <x:v>本条目的方法说明、参数、示例或诊断入口。</x:v>
      </x:c>
      <x:c r="P553" s="14" t="str"/>
      <x:c r="Q553" s="14" t="str"/>
      <x:c r="R553" s="17"/>
      <x:c r="S553" s="14" t="str"/>
      <x:c r="T553" s="14" t="str"/>
      <x:c r="U553" s="19" t="n">
        <x:v>46303</x:v>
      </x:c>
    </x:row>
    <x:row r="554" ht="68" customHeight="1">
      <x:c r="A554" s="14" t="str">
        <x:v>D-07BCE3B9</x:v>
      </x:c>
      <x:c r="B554" s="14" t="str">
        <x:v>在线阅读</x:v>
      </x:c>
      <x:c r="C554" s="14" t="str">
        <x:v>jsPsych（在线实验框架，含 IAT 插件）</x:v>
      </x:c>
      <x:c r="D554" s="14" t="str">
        <x:v>英文</x:v>
      </x:c>
      <x:c r="E554" s="15" t="str">
        <x:v>未处理</x:v>
      </x:c>
      <x:c r="F554" s="15" t="str"/>
      <x:c r="G554" s="16" t="str">
        <x:v>https://www.jspsych.org/</x:v>
      </x:c>
      <x:c r="H554" s="14" t="str">
        <x:v>B16</x:v>
      </x:c>
      <x:c r="I554" s="14" t="str">
        <x:v>方法/软件项目</x:v>
      </x:c>
      <x:c r="J554" s="18" t="str"/>
      <x:c r="K554" s="14" t="str">
        <x:v>教材 / 说明书 / 网页</x:v>
      </x:c>
      <x:c r="L554" s="14" t="str">
        <x:v>选读</x:v>
      </x:c>
      <x:c r="M554" s="14" t="str">
        <x:v>以网页课程、在线章节或项目文档形式提供。</x:v>
      </x:c>
      <x:c r="N554" s="14" t="str">
        <x:v>打开官方入口，使用站点提供的下载功能；网页教程可继续在线使用。</x:v>
      </x:c>
      <x:c r="O554" s="14" t="str">
        <x:v>本条目的方法说明、参数、示例或诊断入口。</x:v>
      </x:c>
      <x:c r="P554" s="14" t="str"/>
      <x:c r="Q554" s="14" t="str"/>
      <x:c r="R554" s="17"/>
      <x:c r="S554" s="14" t="str"/>
      <x:c r="T554" s="14" t="str"/>
      <x:c r="U554" s="19" t="n">
        <x:v>46303</x:v>
      </x:c>
    </x:row>
    <x:row r="555" ht="68" customHeight="1">
      <x:c r="A555" s="14" t="str">
        <x:v>D-52CB90B0</x:v>
      </x:c>
      <x:c r="B555" s="14" t="str">
        <x:v>在线阅读</x:v>
      </x:c>
      <x:c r="C555" s="14" t="str">
        <x:v>Project Implicit（IAT 官方平台）</x:v>
      </x:c>
      <x:c r="D555" s="14" t="str">
        <x:v>英文</x:v>
      </x:c>
      <x:c r="E555" s="15" t="str">
        <x:v>未处理</x:v>
      </x:c>
      <x:c r="F555" s="15" t="str"/>
      <x:c r="G555" s="16" t="str">
        <x:v>https://implicit.harvard.edu/implicit/</x:v>
      </x:c>
      <x:c r="H555" s="14" t="str">
        <x:v>B16</x:v>
      </x:c>
      <x:c r="I555" s="14" t="str">
        <x:v>方法/软件项目</x:v>
      </x:c>
      <x:c r="J555" s="18" t="str"/>
      <x:c r="K555" s="14" t="str">
        <x:v>教材 / 说明书 / 网页</x:v>
      </x:c>
      <x:c r="L555" s="14" t="str">
        <x:v>选读</x:v>
      </x:c>
      <x:c r="M555" s="14" t="str">
        <x:v>以网页课程、在线章节或项目文档形式提供。</x:v>
      </x:c>
      <x:c r="N555" s="14" t="str">
        <x:v>打开官方入口，使用站点提供的下载功能；网页教程可继续在线使用。</x:v>
      </x:c>
      <x:c r="O555" s="14" t="str">
        <x:v>本条目的方法说明、参数、示例或诊断入口。</x:v>
      </x:c>
      <x:c r="P555" s="14" t="str"/>
      <x:c r="Q555" s="14" t="str"/>
      <x:c r="R555" s="17"/>
      <x:c r="S555" s="14" t="str"/>
      <x:c r="T555" s="14" t="str"/>
      <x:c r="U555" s="19" t="n">
        <x:v>46303</x:v>
      </x:c>
    </x:row>
    <x:row r="556" ht="68" customHeight="1">
      <x:c r="A556" s="14" t="str">
        <x:v>D-D5DB082B</x:v>
      </x:c>
      <x:c r="B556" s="14" t="str">
        <x:v>在线阅读</x:v>
      </x:c>
      <x:c r="C556" s="14" t="str">
        <x:v>经典漂移扩散模型 · 计算认知心理学</x:v>
      </x:c>
      <x:c r="D556" s="14" t="str">
        <x:v>中文</x:v>
      </x:c>
      <x:c r="E556" s="15" t="str">
        <x:v>未处理</x:v>
      </x:c>
      <x:c r="F556" s="15" t="str"/>
      <x:c r="G556" s="16" t="str">
        <x:v>https://ruyuanzhang.gitbook.io/compmodcogpsy/di-liu-zhang-zhi-jue-jue-ce/6.4-jing-dian-piao-yi-kuo-san-mo-xing</x:v>
      </x:c>
      <x:c r="H556" s="14" t="str">
        <x:v>B16；B17</x:v>
      </x:c>
      <x:c r="I556" s="14" t="str">
        <x:v>张儒媛课程团队</x:v>
      </x:c>
      <x:c r="J556" s="18" t="str"/>
      <x:c r="K556" s="14" t="str">
        <x:v>教材 / 说明书 / 网页</x:v>
      </x:c>
      <x:c r="L556" s="14" t="str">
        <x:v>选读</x:v>
      </x:c>
      <x:c r="M556" s="14" t="str">
        <x:v>以网页课程、在线章节或项目文档形式提供。</x:v>
      </x:c>
      <x:c r="N556" s="14" t="str">
        <x:v>打开官方入口，使用站点提供的下载功能；网页教程可继续在线使用。</x:v>
      </x:c>
      <x:c r="O556" s="14" t="str">
        <x:v>证据累积、模型参数与模拟估计。</x:v>
      </x:c>
      <x:c r="P556" s="14" t="str"/>
      <x:c r="Q556" s="14" t="str"/>
      <x:c r="R556" s="17"/>
      <x:c r="S556" s="14" t="str"/>
      <x:c r="T556" s="14" t="str"/>
      <x:c r="U556" s="19" t="n">
        <x:v>46303</x:v>
      </x:c>
    </x:row>
    <x:row r="557" ht="68" customHeight="1">
      <x:c r="A557" s="14" t="str">
        <x:v>D-AC6FD57D</x:v>
      </x:c>
      <x:c r="B557" s="14" t="str">
        <x:v>在线阅读</x:v>
      </x:c>
      <x:c r="C557" s="14" t="str">
        <x:v>HDDM 官方文档</x:v>
      </x:c>
      <x:c r="D557" s="14" t="str">
        <x:v>英文</x:v>
      </x:c>
      <x:c r="E557" s="15" t="str">
        <x:v>未处理</x:v>
      </x:c>
      <x:c r="F557" s="15" t="str"/>
      <x:c r="G557" s="16" t="str">
        <x:v>http://ski.clps.brown.edu/hddm_docs/</x:v>
      </x:c>
      <x:c r="H557" s="14" t="str">
        <x:v>B17</x:v>
      </x:c>
      <x:c r="I557" s="14" t="str">
        <x:v>方法/软件项目</x:v>
      </x:c>
      <x:c r="J557" s="18" t="str"/>
      <x:c r="K557" s="14" t="str">
        <x:v>教材 / 说明书 / 网页</x:v>
      </x:c>
      <x:c r="L557" s="14" t="str">
        <x:v>选读</x:v>
      </x:c>
      <x:c r="M557" s="14" t="str">
        <x:v>以网页课程、在线章节或项目文档形式提供。</x:v>
      </x:c>
      <x:c r="N557" s="14" t="str">
        <x:v>打开官方入口，使用站点提供的下载功能；网页教程可继续在线使用。</x:v>
      </x:c>
      <x:c r="O557" s="14" t="str">
        <x:v>本条目的方法说明、参数、示例或诊断入口。</x:v>
      </x:c>
      <x:c r="P557" s="14" t="str"/>
      <x:c r="Q557" s="14" t="str"/>
      <x:c r="R557" s="17"/>
      <x:c r="S557" s="14" t="str"/>
      <x:c r="T557" s="14" t="str"/>
      <x:c r="U557" s="19" t="n">
        <x:v>46303</x:v>
      </x:c>
    </x:row>
    <x:row r="558" ht="68" customHeight="1">
      <x:c r="A558" s="14" t="str">
        <x:v>D-791B3ABF</x:v>
      </x:c>
      <x:c r="B558" s="14" t="str">
        <x:v>在线阅读</x:v>
      </x:c>
      <x:c r="C558" s="14" t="str">
        <x:v>brms wiener 家族示例</x:v>
      </x:c>
      <x:c r="D558" s="14" t="str">
        <x:v>英文</x:v>
      </x:c>
      <x:c r="E558" s="15" t="str">
        <x:v>未处理</x:v>
      </x:c>
      <x:c r="F558" s="15" t="str"/>
      <x:c r="G558" s="16" t="str">
        <x:v>https://paul-buerkner.github.io/brms/</x:v>
      </x:c>
      <x:c r="H558" s="14" t="str">
        <x:v>B17；K01；K05</x:v>
      </x:c>
      <x:c r="I558" s="14" t="str">
        <x:v>方法/软件项目</x:v>
      </x:c>
      <x:c r="J558" s="18" t="str"/>
      <x:c r="K558" s="14" t="str">
        <x:v>教材 / 说明书 / 网页</x:v>
      </x:c>
      <x:c r="L558" s="14" t="str">
        <x:v>选读</x:v>
      </x:c>
      <x:c r="M558" s="14" t="str">
        <x:v>以网页课程、在线章节或项目文档形式提供。</x:v>
      </x:c>
      <x:c r="N558" s="14" t="str">
        <x:v>打开官方入口，使用站点提供的下载功能；网页教程可继续在线使用。</x:v>
      </x:c>
      <x:c r="O558" s="14" t="str">
        <x:v>本条目的方法说明、参数、示例或诊断入口。</x:v>
      </x:c>
      <x:c r="P558" s="14" t="str"/>
      <x:c r="Q558" s="14" t="str"/>
      <x:c r="R558" s="17"/>
      <x:c r="S558" s="14" t="str"/>
      <x:c r="T558" s="14" t="str"/>
      <x:c r="U558" s="19" t="n">
        <x:v>46303</x:v>
      </x:c>
    </x:row>
    <x:row r="559" ht="68" customHeight="1">
      <x:c r="A559" s="14" t="str">
        <x:v>D-5C67A5F7</x:v>
      </x:c>
      <x:c r="B559" s="14" t="str">
        <x:v>在线阅读</x:v>
      </x:c>
      <x:c r="C559" s="14" t="str">
        <x:v>EduG 软件（免费，G 理论专用）</x:v>
      </x:c>
      <x:c r="D559" s="14" t="str">
        <x:v>英文</x:v>
      </x:c>
      <x:c r="E559" s="15" t="str">
        <x:v>未处理</x:v>
      </x:c>
      <x:c r="F559" s="15" t="str"/>
      <x:c r="G559" s="16" t="str">
        <x:v>https://www.irdp.ch/institut/english-programs-1968.html</x:v>
      </x:c>
      <x:c r="H559" s="14" t="str">
        <x:v>B18</x:v>
      </x:c>
      <x:c r="I559" s="14" t="str">
        <x:v>方法/软件项目</x:v>
      </x:c>
      <x:c r="J559" s="18" t="str"/>
      <x:c r="K559" s="14" t="str">
        <x:v>教材 / 说明书 / 网页</x:v>
      </x:c>
      <x:c r="L559" s="14" t="str">
        <x:v>选读</x:v>
      </x:c>
      <x:c r="M559" s="14" t="str">
        <x:v>以网页课程、在线章节或项目文档形式提供。</x:v>
      </x:c>
      <x:c r="N559" s="14" t="str">
        <x:v>打开官方入口，使用站点提供的下载功能；网页教程可继续在线使用。</x:v>
      </x:c>
      <x:c r="O559" s="14" t="str">
        <x:v>本条目的方法说明、参数、示例或诊断入口。</x:v>
      </x:c>
      <x:c r="P559" s="14" t="str"/>
      <x:c r="Q559" s="14" t="str"/>
      <x:c r="R559" s="17"/>
      <x:c r="S559" s="14" t="str"/>
      <x:c r="T559" s="14" t="str"/>
      <x:c r="U559" s="19" t="n">
        <x:v>46303</x:v>
      </x:c>
    </x:row>
    <x:row r="560" ht="68" customHeight="1">
      <x:c r="A560" s="14" t="str">
        <x:v>D-E7EAA027</x:v>
      </x:c>
      <x:c r="B560" s="14" t="str">
        <x:v>在线阅读</x:v>
      </x:c>
      <x:c r="C560" s="14" t="str">
        <x:v>gtheory 包</x:v>
      </x:c>
      <x:c r="D560" s="14" t="str">
        <x:v>英文</x:v>
      </x:c>
      <x:c r="E560" s="15" t="str">
        <x:v>未处理</x:v>
      </x:c>
      <x:c r="F560" s="15" t="str"/>
      <x:c r="G560" s="16" t="str">
        <x:v>https://cran.r-project.org/package=gtheory</x:v>
      </x:c>
      <x:c r="H560" s="14" t="str">
        <x:v>B18</x:v>
      </x:c>
      <x:c r="I560" s="14" t="str">
        <x:v>方法/软件项目</x:v>
      </x:c>
      <x:c r="J560" s="18" t="str"/>
      <x:c r="K560" s="14" t="str">
        <x:v>教材 / 说明书 / 网页</x:v>
      </x:c>
      <x:c r="L560" s="14" t="str">
        <x:v>选读</x:v>
      </x:c>
      <x:c r="M560" s="14" t="str">
        <x:v>以网页课程、在线章节或项目文档形式提供。</x:v>
      </x:c>
      <x:c r="N560" s="14" t="str">
        <x:v>打开官方入口，使用站点提供的下载功能；网页教程可继续在线使用。</x:v>
      </x:c>
      <x:c r="O560" s="14" t="str">
        <x:v>本条目的方法说明、参数、示例或诊断入口。</x:v>
      </x:c>
      <x:c r="P560" s="14" t="str"/>
      <x:c r="Q560" s="14" t="str"/>
      <x:c r="R560" s="17"/>
      <x:c r="S560" s="14" t="str"/>
      <x:c r="T560" s="14" t="str"/>
      <x:c r="U560" s="19" t="n">
        <x:v>46303</x:v>
      </x:c>
    </x:row>
    <x:row r="561" ht="68" customHeight="1">
      <x:c r="A561" s="14" t="str">
        <x:v>D-76EE6323</x:v>
      </x:c>
      <x:c r="B561" s="14" t="str">
        <x:v>在线阅读</x:v>
      </x:c>
      <x:c r="C561" s="14" t="str">
        <x:v>GDINA · Higher-order GDINA exercise</x:v>
      </x:c>
      <x:c r="D561" s="14" t="str">
        <x:v>英文</x:v>
      </x:c>
      <x:c r="E561" s="15" t="str">
        <x:v>未处理</x:v>
      </x:c>
      <x:c r="F561" s="15" t="str"/>
      <x:c r="G561" s="16" t="str">
        <x:v>https://wenchao-ma.github.io/GDINA/articles/OnlineExercises/HOGDINA_example.html</x:v>
      </x:c>
      <x:c r="H561" s="14" t="str">
        <x:v>B19；B21；N08</x:v>
      </x:c>
      <x:c r="I561" s="14" t="str">
        <x:v>Wenchao Ma / GDINA</x:v>
      </x:c>
      <x:c r="J561" s="18" t="str"/>
      <x:c r="K561" s="14" t="str">
        <x:v>教学</x:v>
      </x:c>
      <x:c r="L561" s="14" t="str">
        <x:v>选读</x:v>
      </x:c>
      <x:c r="M561" s="14" t="str">
        <x:v>以网页课程、在线章节或项目文档形式提供。</x:v>
      </x:c>
      <x:c r="N561" s="14" t="str">
        <x:v>打开官方入口，使用站点提供的下载功能；网页教程可继续在线使用。</x:v>
      </x:c>
      <x:c r="O561" s="14" t="str">
        <x:v>用可执行练习理解属性掌握模式与高阶结构。</x:v>
      </x:c>
      <x:c r="P561" s="14" t="str"/>
      <x:c r="Q561" s="14" t="str"/>
      <x:c r="R561" s="17"/>
      <x:c r="S561" s="14" t="str"/>
      <x:c r="T561" s="14" t="str"/>
      <x:c r="U561" s="19" t="n">
        <x:v>46303</x:v>
      </x:c>
    </x:row>
    <x:row r="562" ht="68" customHeight="1">
      <x:c r="A562" s="14" t="str">
        <x:v>D-B8470AA2</x:v>
      </x:c>
      <x:c r="B562" s="14" t="str">
        <x:v>在线阅读</x:v>
      </x:c>
      <x:c r="C562" s="14" t="str">
        <x:v>Longitudinal MNLFA · simulation materials</x:v>
      </x:c>
      <x:c r="D562" s="14" t="str">
        <x:v>英文</x:v>
      </x:c>
      <x:c r="E562" s="15" t="str">
        <x:v>未处理</x:v>
      </x:c>
      <x:c r="F562" s="15" t="str"/>
      <x:c r="G562" s="16" t="str">
        <x:v>https://osf.io/qdvy2/</x:v>
      </x:c>
      <x:c r="H562" s="14" t="str">
        <x:v>B20</x:v>
      </x:c>
      <x:c r="I562" s="14" t="str">
        <x:v>Chen / Bauer</x:v>
      </x:c>
      <x:c r="J562" s="18" t="str"/>
      <x:c r="K562" s="14" t="str">
        <x:v>教学</x:v>
      </x:c>
      <x:c r="L562" s="14" t="str">
        <x:v>选读</x:v>
      </x:c>
      <x:c r="M562" s="14" t="str">
        <x:v>以网页课程、在线章节或项目文档形式提供。</x:v>
      </x:c>
      <x:c r="N562" s="14" t="str">
        <x:v>打开官方入口，使用站点提供的下载功能；网页教程可继续在线使用。</x:v>
      </x:c>
      <x:c r="O562" s="14" t="str">
        <x:v>论文直接指向的模拟材料；网页可能需要脚本加载。</x:v>
      </x:c>
      <x:c r="P562" s="14" t="str"/>
      <x:c r="Q562" s="14" t="str"/>
      <x:c r="R562" s="17"/>
      <x:c r="S562" s="14" t="str"/>
      <x:c r="T562" s="14" t="str"/>
      <x:c r="U562" s="19" t="n">
        <x:v>46303</x:v>
      </x:c>
    </x:row>
    <x:row r="563" ht="68" customHeight="1">
      <x:c r="A563" s="14" t="str">
        <x:v>D-87909D1E</x:v>
      </x:c>
      <x:c r="B563" s="14" t="str">
        <x:v>在线阅读</x:v>
      </x:c>
      <x:c r="C563" s="14" t="str">
        <x:v>多变量追踪研究的模型整合与拓展：考察往复式影响与增长趋势</x:v>
      </x:c>
      <x:c r="D563" s="14" t="str">
        <x:v>中文</x:v>
      </x:c>
      <x:c r="E563" s="15" t="str">
        <x:v>未处理</x:v>
      </x:c>
      <x:c r="F563" s="15" t="str"/>
      <x:c r="G563" s="16" t="str">
        <x:v>https://journal.psych.ac.cn/xlkxjz/article/2021/1671-3710/1671-3710-29-10-1755.shtml</x:v>
      </x:c>
      <x:c r="H563" s="14" t="str">
        <x:v>B20；E05；E07；E08；F07；H07；H08；H10；H12</x:v>
      </x:c>
      <x:c r="I563" s="14" t="str">
        <x:v>刘源 · 心理科学进展（2021）</x:v>
      </x:c>
      <x:c r="J563" s="18" t="str"/>
      <x:c r="K563" s="14" t="str">
        <x:v>教材 / 说明书 / 网页</x:v>
      </x:c>
      <x:c r="L563" s="14" t="str">
        <x:v>选读</x:v>
      </x:c>
      <x:c r="M563" s="14" t="str">
        <x:v>以网页课程、在线章节或项目文档形式提供。</x:v>
      </x:c>
      <x:c r="N563" s="14" t="str">
        <x:v>打开官方入口，使用站点提供的下载功能；网页教程可继续在线使用。</x:v>
      </x:c>
      <x:c r="O563" s="14" t="str">
        <x:v>比较纵向模型的个体内、个体间和测量误差成分。</x:v>
      </x:c>
      <x:c r="P563" s="14" t="str"/>
      <x:c r="Q563" s="14" t="str"/>
      <x:c r="R563" s="17"/>
      <x:c r="S563" s="14" t="str"/>
      <x:c r="T563" s="14" t="str"/>
      <x:c r="U563" s="19" t="n">
        <x:v>46303</x:v>
      </x:c>
    </x:row>
    <x:row r="564" ht="68" customHeight="1">
      <x:c r="A564" s="14" t="str">
        <x:v>D-B6390791</x:v>
      </x:c>
      <x:c r="B564" s="14" t="str">
        <x:v>在线阅读</x:v>
      </x:c>
      <x:c r="C564" s="14" t="str">
        <x:v>认知诊断模型资料拟合检验方法和统计量</x:v>
      </x:c>
      <x:c r="D564" s="14" t="str">
        <x:v>中文</x:v>
      </x:c>
      <x:c r="E564" s="15" t="str">
        <x:v>未处理</x:v>
      </x:c>
      <x:c r="F564" s="15" t="str"/>
      <x:c r="G564" s="16" t="str">
        <x:v>https://journal.psych.ac.cn/xlkxjz/CN/abstract/abstract3599.shtml</x:v>
      </x:c>
      <x:c r="H564" s="14" t="str">
        <x:v>B21</x:v>
      </x:c>
      <x:c r="I564" s="14" t="str">
        <x:v>心理科学进展（2016）</x:v>
      </x:c>
      <x:c r="J564" s="18" t="str"/>
      <x:c r="K564" s="14" t="str">
        <x:v>教材 / 说明书 / 网页</x:v>
      </x:c>
      <x:c r="L564" s="14" t="str">
        <x:v>选读</x:v>
      </x:c>
      <x:c r="M564" s="14" t="str">
        <x:v>以网页课程、在线章节或项目文档形式提供。</x:v>
      </x:c>
      <x:c r="N564" s="14" t="str">
        <x:v>打开官方入口，使用站点提供的下载功能；网页教程可继续在线使用。</x:v>
      </x:c>
      <x:c r="O564" s="14" t="str">
        <x:v>关注模型—资料适配，配合较新的模型论文阅读。</x:v>
      </x:c>
      <x:c r="P564" s="14" t="str"/>
      <x:c r="Q564" s="14" t="str"/>
      <x:c r="R564" s="17"/>
      <x:c r="S564" s="14" t="str"/>
      <x:c r="T564" s="14" t="str"/>
      <x:c r="U564" s="19" t="n">
        <x:v>46303</x:v>
      </x:c>
    </x:row>
    <x:row r="565" ht="68" customHeight="1">
      <x:c r="A565" s="14" t="str">
        <x:v>D-B21A168C</x:v>
      </x:c>
      <x:c r="B565" s="14" t="str">
        <x:v>在线阅读</x:v>
      </x:c>
      <x:c r="C565" s="14" t="str">
        <x:v>report 包（自动生成规范报告句）</x:v>
      </x:c>
      <x:c r="D565" s="14" t="str">
        <x:v>英文</x:v>
      </x:c>
      <x:c r="E565" s="15" t="str">
        <x:v>未处理</x:v>
      </x:c>
      <x:c r="F565" s="15" t="str"/>
      <x:c r="G565" s="16" t="str">
        <x:v>https://easystats.github.io/report/</x:v>
      </x:c>
      <x:c r="H565" s="14" t="str">
        <x:v>C01</x:v>
      </x:c>
      <x:c r="I565" s="14" t="str">
        <x:v>方法/软件项目</x:v>
      </x:c>
      <x:c r="J565" s="18" t="str"/>
      <x:c r="K565" s="14" t="str">
        <x:v>教材 / 说明书 / 网页</x:v>
      </x:c>
      <x:c r="L565" s="14" t="str">
        <x:v>选读</x:v>
      </x:c>
      <x:c r="M565" s="14" t="str">
        <x:v>以网页课程、在线章节或项目文档形式提供。</x:v>
      </x:c>
      <x:c r="N565" s="14" t="str">
        <x:v>打开官方入口，使用站点提供的下载功能；网页教程可继续在线使用。</x:v>
      </x:c>
      <x:c r="O565" s="14" t="str">
        <x:v>本条目的方法说明、参数、示例或诊断入口。</x:v>
      </x:c>
      <x:c r="P565" s="14" t="str"/>
      <x:c r="Q565" s="14" t="str"/>
      <x:c r="R565" s="17"/>
      <x:c r="S565" s="14" t="str"/>
      <x:c r="T565" s="14" t="str"/>
      <x:c r="U565" s="19" t="n">
        <x:v>46303</x:v>
      </x:c>
    </x:row>
    <x:row r="566" ht="68" customHeight="1">
      <x:c r="A566" s="14" t="str">
        <x:v>D-F838F972</x:v>
      </x:c>
      <x:c r="B566" s="14" t="str">
        <x:v>在线阅读</x:v>
      </x:c>
      <x:c r="C566" s="14" t="str">
        <x:v>Introduction to Randomized Evaluations</x:v>
      </x:c>
      <x:c r="D566" s="14" t="str">
        <x:v>英文</x:v>
      </x:c>
      <x:c r="E566" s="15" t="str">
        <x:v>未处理</x:v>
      </x:c>
      <x:c r="F566" s="15" t="str"/>
      <x:c r="G566" s="16" t="str">
        <x:v>https://www.povertyactionlab.org/resource/introduction-randomized-evaluations</x:v>
      </x:c>
      <x:c r="H566" s="14" t="str">
        <x:v>C01；C02；C03；C04；C05；C06；C07；C08；C09；C10</x:v>
      </x:c>
      <x:c r="I566" s="14" t="str">
        <x:v>J-PAL</x:v>
      </x:c>
      <x:c r="J566" s="18" t="str"/>
      <x:c r="K566" s="14" t="str">
        <x:v>教材 / 说明书 / 网页</x:v>
      </x:c>
      <x:c r="L566" s="14" t="str">
        <x:v>选读</x:v>
      </x:c>
      <x:c r="M566" s="14" t="str">
        <x:v>以网页课程、在线章节或项目文档形式提供。</x:v>
      </x:c>
      <x:c r="N566" s="14" t="str">
        <x:v>打开官方入口，使用站点提供的下载功能；网页教程可继续在线使用。</x:v>
      </x:c>
      <x:c r="O566" s="14" t="str">
        <x:v>从研究问题、随机分配到效应估计与报告的实务指南。</x:v>
      </x:c>
      <x:c r="P566" s="14" t="str"/>
      <x:c r="Q566" s="14" t="str"/>
      <x:c r="R566" s="17"/>
      <x:c r="S566" s="14" t="str"/>
      <x:c r="T566" s="14" t="str"/>
      <x:c r="U566" s="19" t="n">
        <x:v>46303</x:v>
      </x:c>
    </x:row>
    <x:row r="567" ht="68" customHeight="1">
      <x:c r="A567" s="14" t="str">
        <x:v>D-9DF24DF2</x:v>
      </x:c>
      <x:c r="B567" s="14" t="str">
        <x:v>在线阅读</x:v>
      </x:c>
      <x:c r="C567" s="14" t="str">
        <x:v>NIST Process Improvement</x:v>
      </x:c>
      <x:c r="D567" s="14" t="str">
        <x:v>英文</x:v>
      </x:c>
      <x:c r="E567" s="15" t="str">
        <x:v>未处理</x:v>
      </x:c>
      <x:c r="F567" s="15" t="str"/>
      <x:c r="G567" s="16" t="str">
        <x:v>https://www.itl.nist.gov/div898/handbook/pri/pri.htm</x:v>
      </x:c>
      <x:c r="H567" s="14" t="str">
        <x:v>C01；C02；C03；C04；C05；C06；C07；C08；C09；C10</x:v>
      </x:c>
      <x:c r="I567" s="14" t="str">
        <x:v>NIST</x:v>
      </x:c>
      <x:c r="J567" s="18" t="str"/>
      <x:c r="K567" s="14" t="str">
        <x:v>教材 / 说明书 / 网页</x:v>
      </x:c>
      <x:c r="L567" s="14" t="str">
        <x:v>选读</x:v>
      </x:c>
      <x:c r="M567" s="14" t="str">
        <x:v>以网页课程、在线章节或项目文档形式提供。</x:v>
      </x:c>
      <x:c r="N567" s="14" t="str">
        <x:v>打开官方入口，使用站点提供的下载功能；网页教程可继续在线使用。</x:v>
      </x:c>
      <x:c r="O567" s="14" t="str">
        <x:v>实验设计、案例数据、效应图和过程改进练习。</x:v>
      </x:c>
      <x:c r="P567" s="14" t="str"/>
      <x:c r="Q567" s="14" t="str"/>
      <x:c r="R567" s="17"/>
      <x:c r="S567" s="14" t="str"/>
      <x:c r="T567" s="14" t="str"/>
      <x:c r="U567" s="19" t="n">
        <x:v>46303</x:v>
      </x:c>
    </x:row>
    <x:row r="568" ht="68" customHeight="1">
      <x:c r="A568" s="14" t="str">
        <x:v>D-AB9E23DB</x:v>
      </x:c>
      <x:c r="B568" s="14" t="str">
        <x:v>在线阅读</x:v>
      </x:c>
      <x:c r="C568" s="14" t="str">
        <x:v>STAT 503: Design of Experiments</x:v>
      </x:c>
      <x:c r="D568" s="14" t="str">
        <x:v>英文</x:v>
      </x:c>
      <x:c r="E568" s="15" t="str">
        <x:v>未处理</x:v>
      </x:c>
      <x:c r="F568" s="15" t="str"/>
      <x:c r="G568" s="16" t="str">
        <x:v>https://online.stat.psu.edu/stat503/</x:v>
      </x:c>
      <x:c r="H568" s="14" t="str">
        <x:v>C01；C02；C03；C04；C05；C06；C07；C08；C09；C10</x:v>
      </x:c>
      <x:c r="I568" s="14" t="str">
        <x:v>Penn State Statistics</x:v>
      </x:c>
      <x:c r="J568" s="18" t="str"/>
      <x:c r="K568" s="14" t="str">
        <x:v>教材 / 说明书 / 网页</x:v>
      </x:c>
      <x:c r="L568" s="14" t="str">
        <x:v>选读</x:v>
      </x:c>
      <x:c r="M568" s="14" t="str">
        <x:v>以网页课程、在线章节或项目文档形式提供。</x:v>
      </x:c>
      <x:c r="N568" s="14" t="str">
        <x:v>打开官方入口，使用站点提供的下载功能；网页教程可继续在线使用。</x:v>
      </x:c>
      <x:c r="O568" s="14" t="str">
        <x:v>随机化、区组、析因、裂区与响应面设计。</x:v>
      </x:c>
      <x:c r="P568" s="14" t="str"/>
      <x:c r="Q568" s="14" t="str"/>
      <x:c r="R568" s="17"/>
      <x:c r="S568" s="14" t="str"/>
      <x:c r="T568" s="14" t="str"/>
      <x:c r="U568" s="19" t="n">
        <x:v>46303</x:v>
      </x:c>
    </x:row>
    <x:row r="569" ht="68" customHeight="1">
      <x:c r="A569" s="14" t="str">
        <x:v>D-30466274</x:v>
      </x:c>
      <x:c r="B569" s="14" t="str">
        <x:v>在线阅读</x:v>
      </x:c>
      <x:c r="C569" s="14" t="str">
        <x:v>R语言教程 · 36 R方差分析</x:v>
      </x:c>
      <x:c r="D569" s="14" t="str">
        <x:v>中文</x:v>
      </x:c>
      <x:c r="E569" s="15" t="str">
        <x:v>未处理</x:v>
      </x:c>
      <x:c r="F569" s="15" t="str"/>
      <x:c r="G569" s="16" t="str">
        <x:v>https://math.pku.edu.cn/teachers/lidf/docs/Rbook/html/_Rbook/stat-aov.html</x:v>
      </x:c>
      <x:c r="H569" s="14" t="str">
        <x:v>C02；C03；C04；C05</x:v>
      </x:c>
      <x:c r="I569" s="14" t="str">
        <x:v>李东风 · 北京大学</x:v>
      </x:c>
      <x:c r="J569" s="18" t="str"/>
      <x:c r="K569" s="14" t="str">
        <x:v>教材 / 说明书 / 网页</x:v>
      </x:c>
      <x:c r="L569" s="14" t="str">
        <x:v>选读</x:v>
      </x:c>
      <x:c r="M569" s="14" t="str">
        <x:v>以网页课程、在线章节或项目文档形式提供。</x:v>
      </x:c>
      <x:c r="N569" s="14" t="str">
        <x:v>打开官方入口，使用站点提供的下载功能；网页教程可继续在线使用。</x:v>
      </x:c>
      <x:c r="O569" s="14" t="str">
        <x:v>作者课程讲义，含 R 示例与章节练习。</x:v>
      </x:c>
      <x:c r="P569" s="14" t="str"/>
      <x:c r="Q569" s="14" t="str"/>
      <x:c r="R569" s="17"/>
      <x:c r="S569" s="14" t="str"/>
      <x:c r="T569" s="14" t="str"/>
      <x:c r="U569" s="19" t="n">
        <x:v>46303</x:v>
      </x:c>
    </x:row>
    <x:row r="570" ht="68" customHeight="1">
      <x:c r="A570" s="14" t="str">
        <x:v>D-4A45FE5F</x:v>
      </x:c>
      <x:c r="B570" s="14" t="str">
        <x:v>在线阅读</x:v>
      </x:c>
      <x:c r="C570" s="14" t="str">
        <x:v>afex 包（方差分析，自动 Type III 与效应量）</x:v>
      </x:c>
      <x:c r="D570" s="14" t="str">
        <x:v>英文</x:v>
      </x:c>
      <x:c r="E570" s="15" t="str">
        <x:v>未处理</x:v>
      </x:c>
      <x:c r="F570" s="15" t="str"/>
      <x:c r="G570" s="16" t="str">
        <x:v>https://cran.r-project.org/package=afex</x:v>
      </x:c>
      <x:c r="H570" s="14" t="str">
        <x:v>C02；C04；C05</x:v>
      </x:c>
      <x:c r="I570" s="14" t="str">
        <x:v>方法/软件项目</x:v>
      </x:c>
      <x:c r="J570" s="18" t="str"/>
      <x:c r="K570" s="14" t="str">
        <x:v>教材 / 说明书 / 网页</x:v>
      </x:c>
      <x:c r="L570" s="14" t="str">
        <x:v>选读</x:v>
      </x:c>
      <x:c r="M570" s="14" t="str">
        <x:v>以网页课程、在线章节或项目文档形式提供。</x:v>
      </x:c>
      <x:c r="N570" s="14" t="str">
        <x:v>打开官方入口，使用站点提供的下载功能；网页教程可继续在线使用。</x:v>
      </x:c>
      <x:c r="O570" s="14" t="str">
        <x:v>本条目的方法说明、参数、示例或诊断入口。</x:v>
      </x:c>
      <x:c r="P570" s="14" t="str"/>
      <x:c r="Q570" s="14" t="str"/>
      <x:c r="R570" s="17"/>
      <x:c r="S570" s="14" t="str"/>
      <x:c r="T570" s="14" t="str"/>
      <x:c r="U570" s="19" t="n">
        <x:v>46303</x:v>
      </x:c>
    </x:row>
    <x:row r="571" ht="68" customHeight="1">
      <x:c r="A571" s="14" t="str">
        <x:v>D-5F7CCA7E</x:v>
      </x:c>
      <x:c r="B571" s="14" t="str">
        <x:v>在线阅读</x:v>
      </x:c>
      <x:c r="C571" s="14" t="str">
        <x:v>R语言教程 · 34 R公式界面与设计阵</x:v>
      </x:c>
      <x:c r="D571" s="14" t="str">
        <x:v>中文</x:v>
      </x:c>
      <x:c r="E571" s="15" t="str">
        <x:v>未处理</x:v>
      </x:c>
      <x:c r="F571" s="15" t="str"/>
      <x:c r="G571" s="16" t="str">
        <x:v>https://math.pku.edu.cn/teachers/lidf/docs/Rbook/html/_Rbook/stat-base-reg-fdm.html</x:v>
      </x:c>
      <x:c r="H571" s="14" t="str">
        <x:v>C03</x:v>
      </x:c>
      <x:c r="I571" s="14" t="str">
        <x:v>李东风 · 北京大学</x:v>
      </x:c>
      <x:c r="J571" s="18" t="str"/>
      <x:c r="K571" s="14" t="str">
        <x:v>教材 / 说明书 / 网页</x:v>
      </x:c>
      <x:c r="L571" s="14" t="str">
        <x:v>选读</x:v>
      </x:c>
      <x:c r="M571" s="14" t="str">
        <x:v>以网页课程、在线章节或项目文档形式提供。</x:v>
      </x:c>
      <x:c r="N571" s="14" t="str">
        <x:v>打开官方入口，使用站点提供的下载功能；网页教程可继续在线使用。</x:v>
      </x:c>
      <x:c r="O571" s="14" t="str">
        <x:v>作者课程讲义，含 R 示例与章节练习。</x:v>
      </x:c>
      <x:c r="P571" s="14" t="str"/>
      <x:c r="Q571" s="14" t="str"/>
      <x:c r="R571" s="17"/>
      <x:c r="S571" s="14" t="str"/>
      <x:c r="T571" s="14" t="str"/>
      <x:c r="U571" s="19" t="n">
        <x:v>46303</x:v>
      </x:c>
    </x:row>
    <x:row r="572" ht="68" customHeight="1">
      <x:c r="A572" s="14" t="str">
        <x:v>D-FF1EE084</x:v>
      </x:c>
      <x:c r="B572" s="14" t="str">
        <x:v>在线阅读</x:v>
      </x:c>
      <x:c r="C572" s="14" t="str">
        <x:v>lme4 包</x:v>
      </x:c>
      <x:c r="D572" s="14" t="str">
        <x:v>英文</x:v>
      </x:c>
      <x:c r="E572" s="15" t="str">
        <x:v>未处理</x:v>
      </x:c>
      <x:c r="F572" s="15" t="str"/>
      <x:c r="G572" s="16" t="str">
        <x:v>https://cran.r-project.org/package=lme4</x:v>
      </x:c>
      <x:c r="H572" s="14" t="str">
        <x:v>C04；F01；F02；F03；F04；F05；F06</x:v>
      </x:c>
      <x:c r="I572" s="14" t="str">
        <x:v>方法/软件项目</x:v>
      </x:c>
      <x:c r="J572" s="18" t="str"/>
      <x:c r="K572" s="14" t="str">
        <x:v>教材 / 说明书 / 网页</x:v>
      </x:c>
      <x:c r="L572" s="14" t="str">
        <x:v>选读</x:v>
      </x:c>
      <x:c r="M572" s="14" t="str">
        <x:v>以网页课程、在线章节或项目文档形式提供。</x:v>
      </x:c>
      <x:c r="N572" s="14" t="str">
        <x:v>打开官方入口，使用站点提供的下载功能；网页教程可继续在线使用。</x:v>
      </x:c>
      <x:c r="O572" s="14" t="str">
        <x:v>本条目的方法说明、参数、示例或诊断入口。</x:v>
      </x:c>
      <x:c r="P572" s="14" t="str"/>
      <x:c r="Q572" s="14" t="str"/>
      <x:c r="R572" s="17"/>
      <x:c r="S572" s="14" t="str"/>
      <x:c r="T572" s="14" t="str"/>
      <x:c r="U572" s="19" t="n">
        <x:v>46303</x:v>
      </x:c>
    </x:row>
    <x:row r="573" ht="68" customHeight="1">
      <x:c r="A573" s="14" t="str">
        <x:v>D-08E9D75D</x:v>
      </x:c>
      <x:c r="B573" s="14" t="str">
        <x:v>在线阅读</x:v>
      </x:c>
      <x:c r="C573" s="14" t="str">
        <x:v>DeclareDesign（实验设计的模拟诊断框架）</x:v>
      </x:c>
      <x:c r="D573" s="14" t="str">
        <x:v>英文</x:v>
      </x:c>
      <x:c r="E573" s="15" t="str">
        <x:v>未处理</x:v>
      </x:c>
      <x:c r="F573" s="15" t="str"/>
      <x:c r="G573" s="16" t="str">
        <x:v>https://declaredesign.org/</x:v>
      </x:c>
      <x:c r="H573" s="14" t="str">
        <x:v>C07</x:v>
      </x:c>
      <x:c r="I573" s="14" t="str">
        <x:v>方法/软件项目</x:v>
      </x:c>
      <x:c r="J573" s="18" t="str"/>
      <x:c r="K573" s="14" t="str">
        <x:v>教材 / 说明书 / 网页</x:v>
      </x:c>
      <x:c r="L573" s="14" t="str">
        <x:v>选读</x:v>
      </x:c>
      <x:c r="M573" s="14" t="str">
        <x:v>以网页课程、在线章节或项目文档形式提供。</x:v>
      </x:c>
      <x:c r="N573" s="14" t="str">
        <x:v>打开官方入口，使用站点提供的下载功能；网页教程可继续在线使用。</x:v>
      </x:c>
      <x:c r="O573" s="14" t="str">
        <x:v>本条目的方法说明、参数、示例或诊断入口。</x:v>
      </x:c>
      <x:c r="P573" s="14" t="str"/>
      <x:c r="Q573" s="14" t="str"/>
      <x:c r="R573" s="17"/>
      <x:c r="S573" s="14" t="str"/>
      <x:c r="T573" s="14" t="str"/>
      <x:c r="U573" s="19" t="n">
        <x:v>46303</x:v>
      </x:c>
    </x:row>
    <x:row r="574" ht="68" customHeight="1">
      <x:c r="A574" s="14" t="str">
        <x:v>D-7C6E4BE8</x:v>
      </x:c>
      <x:c r="B574" s="14" t="str">
        <x:v>在线阅读</x:v>
      </x:c>
      <x:c r="C574" s="14" t="str">
        <x:v>estimatr（稳健与聚类标准误）</x:v>
      </x:c>
      <x:c r="D574" s="14" t="str">
        <x:v>英文</x:v>
      </x:c>
      <x:c r="E574" s="15" t="str">
        <x:v>未处理</x:v>
      </x:c>
      <x:c r="F574" s="15" t="str"/>
      <x:c r="G574" s="16" t="str">
        <x:v>https://declaredesign.org/r/estimatr/</x:v>
      </x:c>
      <x:c r="H574" s="14" t="str">
        <x:v>C07</x:v>
      </x:c>
      <x:c r="I574" s="14" t="str">
        <x:v>方法/软件项目</x:v>
      </x:c>
      <x:c r="J574" s="18" t="str"/>
      <x:c r="K574" s="14" t="str">
        <x:v>教材 / 说明书 / 网页</x:v>
      </x:c>
      <x:c r="L574" s="14" t="str">
        <x:v>选读</x:v>
      </x:c>
      <x:c r="M574" s="14" t="str">
        <x:v>以网页课程、在线章节或项目文档形式提供。</x:v>
      </x:c>
      <x:c r="N574" s="14" t="str">
        <x:v>打开官方入口，使用站点提供的下载功能；网页教程可继续在线使用。</x:v>
      </x:c>
      <x:c r="O574" s="14" t="str">
        <x:v>本条目的方法说明、参数、示例或诊断入口。</x:v>
      </x:c>
      <x:c r="P574" s="14" t="str"/>
      <x:c r="Q574" s="14" t="str"/>
      <x:c r="R574" s="17"/>
      <x:c r="S574" s="14" t="str"/>
      <x:c r="T574" s="14" t="str"/>
      <x:c r="U574" s="19" t="n">
        <x:v>46303</x:v>
      </x:c>
    </x:row>
    <x:row r="575" ht="68" customHeight="1">
      <x:c r="A575" s="14" t="str">
        <x:v>D-D1557ACE</x:v>
      </x:c>
      <x:c r="B575" s="14" t="str">
        <x:v>在线阅读</x:v>
      </x:c>
      <x:c r="C575" s="14" t="str">
        <x:v>randomizr 包（各种随机化方案）</x:v>
      </x:c>
      <x:c r="D575" s="14" t="str">
        <x:v>英文</x:v>
      </x:c>
      <x:c r="E575" s="15" t="str">
        <x:v>未处理</x:v>
      </x:c>
      <x:c r="F575" s="15" t="str"/>
      <x:c r="G575" s="16" t="str">
        <x:v>https://declaredesign.org/r/randomizr/</x:v>
      </x:c>
      <x:c r="H575" s="14" t="str">
        <x:v>C07</x:v>
      </x:c>
      <x:c r="I575" s="14" t="str">
        <x:v>方法/软件项目</x:v>
      </x:c>
      <x:c r="J575" s="18" t="str"/>
      <x:c r="K575" s="14" t="str">
        <x:v>教材 / 说明书 / 网页</x:v>
      </x:c>
      <x:c r="L575" s="14" t="str">
        <x:v>选读</x:v>
      </x:c>
      <x:c r="M575" s="14" t="str">
        <x:v>以网页课程、在线章节或项目文档形式提供。</x:v>
      </x:c>
      <x:c r="N575" s="14" t="str">
        <x:v>打开官方入口，使用站点提供的下载功能；网页教程可继续在线使用。</x:v>
      </x:c>
      <x:c r="O575" s="14" t="str">
        <x:v>本条目的方法说明、参数、示例或诊断入口。</x:v>
      </x:c>
      <x:c r="P575" s="14" t="str"/>
      <x:c r="Q575" s="14" t="str"/>
      <x:c r="R575" s="17"/>
      <x:c r="S575" s="14" t="str"/>
      <x:c r="T575" s="14" t="str"/>
      <x:c r="U575" s="19" t="n">
        <x:v>46303</x:v>
      </x:c>
    </x:row>
    <x:row r="576" ht="68" customHeight="1">
      <x:c r="A576" s="14" t="str">
        <x:v>D-96DA60E4</x:v>
      </x:c>
      <x:c r="B576" s="14" t="str">
        <x:v>在线阅读</x:v>
      </x:c>
      <x:c r="C576" s="14" t="str">
        <x:v>Bit by Bit · 开展实验</x:v>
      </x:c>
      <x:c r="D576" s="14" t="str">
        <x:v>中文</x:v>
      </x:c>
      <x:c r="E576" s="15" t="str">
        <x:v>未处理</x:v>
      </x:c>
      <x:c r="F576" s="15" t="str"/>
      <x:c r="G576" s="16" t="str">
        <x:v>https://www.bitbybitbook.com/zh-CN/1st-ed/running-experiments/</x:v>
      </x:c>
      <x:c r="H576" s="14" t="str">
        <x:v>C07；C08；C09；C10；C11；G01；G02；G03；G04；G05；G06；G07；G08；G09；G10；G11；G12；G13；G14；G15；G16；G17；G18；G19</x:v>
      </x:c>
      <x:c r="I576" s="14" t="str">
        <x:v>Matthew Salganik · 官方中文版本</x:v>
      </x:c>
      <x:c r="J576" s="18" t="str"/>
      <x:c r="K576" s="14" t="str">
        <x:v>教材 / 说明书 / 网页</x:v>
      </x:c>
      <x:c r="L576" s="14" t="str">
        <x:v>选读</x:v>
      </x:c>
      <x:c r="M576" s="14" t="str">
        <x:v>以网页课程、在线章节或项目文档形式提供。</x:v>
      </x:c>
      <x:c r="N576" s="14" t="str">
        <x:v>打开官方入口，使用站点提供的下载功能；网页教程可继续在线使用。</x:v>
      </x:c>
      <x:c r="O576" s="14" t="str">
        <x:v>中文版本帮助理解研究设计和数字时代的数据生成；不是估计器操作手册。</x:v>
      </x:c>
      <x:c r="P576" s="14" t="str"/>
      <x:c r="Q576" s="14" t="str"/>
      <x:c r="R576" s="17"/>
      <x:c r="S576" s="14" t="str"/>
      <x:c r="T576" s="14" t="str"/>
      <x:c r="U576" s="19" t="n">
        <x:v>46303</x:v>
      </x:c>
    </x:row>
    <x:row r="577" ht="68" customHeight="1">
      <x:c r="A577" s="14" t="str">
        <x:v>D-313BFB82</x:v>
      </x:c>
      <x:c r="B577" s="14" t="str">
        <x:v>在线阅读</x:v>
      </x:c>
      <x:c r="C577" s="14" t="str">
        <x:v>The Effect（免费教材，准实验各章）</x:v>
      </x:c>
      <x:c r="D577" s="14" t="str">
        <x:v>英文</x:v>
      </x:c>
      <x:c r="E577" s="15" t="str">
        <x:v>未处理</x:v>
      </x:c>
      <x:c r="F577" s="15" t="str"/>
      <x:c r="G577" s="16" t="str">
        <x:v>https://theeffectbook.net/</x:v>
      </x:c>
      <x:c r="H577" s="14" t="str">
        <x:v>C08；F05；G01；G02；G03；G04；G05；G06；G07；G08；G09；G10；G11；G12；G13；G14；G15</x:v>
      </x:c>
      <x:c r="I577" s="14" t="str">
        <x:v>方法/软件项目</x:v>
      </x:c>
      <x:c r="J577" s="18" t="str"/>
      <x:c r="K577" s="14" t="str">
        <x:v>教材 / 说明书 / 网页</x:v>
      </x:c>
      <x:c r="L577" s="14" t="str">
        <x:v>选读</x:v>
      </x:c>
      <x:c r="M577" s="14" t="str">
        <x:v>以网页课程、在线章节或项目文档形式提供。</x:v>
      </x:c>
      <x:c r="N577" s="14" t="str">
        <x:v>打开官方入口，使用站点提供的下载功能；网页教程可继续在线使用。</x:v>
      </x:c>
      <x:c r="O577" s="14" t="str">
        <x:v>本条目的方法说明、参数、示例或诊断入口。</x:v>
      </x:c>
      <x:c r="P577" s="14" t="str"/>
      <x:c r="Q577" s="14" t="str"/>
      <x:c r="R577" s="17"/>
      <x:c r="S577" s="14" t="str"/>
      <x:c r="T577" s="14" t="str"/>
      <x:c r="U577" s="19" t="n">
        <x:v>46303</x:v>
      </x:c>
    </x:row>
    <x:row r="578" ht="68" customHeight="1">
      <x:c r="A578" s="14" t="str">
        <x:v>D-9BA529CC</x:v>
      </x:c>
      <x:c r="B578" s="14" t="str">
        <x:v>在线阅读</x:v>
      </x:c>
      <x:c r="C578" s="14" t="str">
        <x:v>dagitty.net（在线画图，直接给调整集）</x:v>
      </x:c>
      <x:c r="D578" s="14" t="str">
        <x:v>英文</x:v>
      </x:c>
      <x:c r="E578" s="15" t="str">
        <x:v>未处理</x:v>
      </x:c>
      <x:c r="F578" s="15" t="str"/>
      <x:c r="G578" s="16" t="str">
        <x:v>http://dagitty.net/</x:v>
      </x:c>
      <x:c r="H578" s="14" t="str">
        <x:v>C08；G02；M16</x:v>
      </x:c>
      <x:c r="I578" s="14" t="str">
        <x:v>方法/软件项目</x:v>
      </x:c>
      <x:c r="J578" s="18" t="str"/>
      <x:c r="K578" s="14" t="str">
        <x:v>教材 / 说明书 / 网页</x:v>
      </x:c>
      <x:c r="L578" s="14" t="str">
        <x:v>选读</x:v>
      </x:c>
      <x:c r="M578" s="14" t="str">
        <x:v>以网页课程、在线章节或项目文档形式提供。</x:v>
      </x:c>
      <x:c r="N578" s="14" t="str">
        <x:v>打开官方入口，使用站点提供的下载功能；网页教程可继续在线使用。</x:v>
      </x:c>
      <x:c r="O578" s="14" t="str">
        <x:v>本条目的方法说明、参数、示例或诊断入口。</x:v>
      </x:c>
      <x:c r="P578" s="14" t="str"/>
      <x:c r="Q578" s="14" t="str"/>
      <x:c r="R578" s="17"/>
      <x:c r="S578" s="14" t="str"/>
      <x:c r="T578" s="14" t="str"/>
      <x:c r="U578" s="19" t="n">
        <x:v>46303</x:v>
      </x:c>
    </x:row>
    <x:row r="579" ht="68" customHeight="1">
      <x:c r="A579" s="14" t="str">
        <x:v>D-F120B3D9</x:v>
      </x:c>
      <x:c r="B579" s="14" t="str">
        <x:v>在线阅读</x:v>
      </x:c>
      <x:c r="C579" s="14" t="str">
        <x:v>The Credibility Revolution in Empirical Economics: How Better Research Design Is Taking the Con out of Econometrics</x:v>
      </x:c>
      <x:c r="D579" s="14" t="str">
        <x:v>英文</x:v>
      </x:c>
      <x:c r="E579" s="15" t="str">
        <x:v>未处理</x:v>
      </x:c>
      <x:c r="F579" s="15" t="str"/>
      <x:c r="G579" s="16" t="str">
        <x:v>https://www.aeaweb.org/articles?id=10.1257/jep.24.2.3</x:v>
      </x:c>
      <x:c r="H579" s="14" t="str">
        <x:v>C08；G07</x:v>
      </x:c>
      <x:c r="I579" s="14" t="str">
        <x:v>Angrist; Pischke</x:v>
      </x:c>
      <x:c r="J579" s="18" t="n">
        <x:v>2010</x:v>
      </x:c>
      <x:c r="K579" s="14" t="str">
        <x:v>文献</x:v>
      </x:c>
      <x:c r="L579" s="14" t="str">
        <x:v>选读</x:v>
      </x:c>
      <x:c r="M579" s="14" t="str">
        <x:v>以网页课程、在线章节或项目文档形式提供。</x:v>
      </x:c>
      <x:c r="N579" s="14" t="str">
        <x:v>打开官方入口，使用站点提供的下载功能；网页教程可继续在线使用。</x:v>
      </x:c>
      <x:c r="O579" s="14" t="str">
        <x:v>微观计量中重视研究设计的一条历史路线；不代指全部社会科学。</x:v>
      </x:c>
      <x:c r="P579" s="14" t="str"/>
      <x:c r="Q579" s="14" t="str"/>
      <x:c r="R579" s="17"/>
      <x:c r="S579" s="14" t="str"/>
      <x:c r="T579" s="14" t="str"/>
      <x:c r="U579" s="19" t="n">
        <x:v>46303</x:v>
      </x:c>
    </x:row>
    <x:row r="580" ht="68" customHeight="1">
      <x:c r="A580" s="14" t="str">
        <x:v>D-1AD4876F</x:v>
      </x:c>
      <x:c r="B580" s="14" t="str">
        <x:v>在线阅读</x:v>
      </x:c>
      <x:c r="C580" s="14" t="str">
        <x:v>cjoint 包</x:v>
      </x:c>
      <x:c r="D580" s="14" t="str">
        <x:v>英文</x:v>
      </x:c>
      <x:c r="E580" s="15" t="str">
        <x:v>未处理</x:v>
      </x:c>
      <x:c r="F580" s="15" t="str"/>
      <x:c r="G580" s="16" t="str">
        <x:v>https://cran.r-project.org/package=cjoint</x:v>
      </x:c>
      <x:c r="H580" s="14" t="str">
        <x:v>C09</x:v>
      </x:c>
      <x:c r="I580" s="14" t="str">
        <x:v>方法/软件项目</x:v>
      </x:c>
      <x:c r="J580" s="18" t="str"/>
      <x:c r="K580" s="14" t="str">
        <x:v>教材 / 说明书 / 网页</x:v>
      </x:c>
      <x:c r="L580" s="14" t="str">
        <x:v>选读</x:v>
      </x:c>
      <x:c r="M580" s="14" t="str">
        <x:v>以网页课程、在线章节或项目文档形式提供。</x:v>
      </x:c>
      <x:c r="N580" s="14" t="str">
        <x:v>打开官方入口，使用站点提供的下载功能；网页教程可继续在线使用。</x:v>
      </x:c>
      <x:c r="O580" s="14" t="str">
        <x:v>本条目的方法说明、参数、示例或诊断入口。</x:v>
      </x:c>
      <x:c r="P580" s="14" t="str"/>
      <x:c r="Q580" s="14" t="str"/>
      <x:c r="R580" s="17"/>
      <x:c r="S580" s="14" t="str"/>
      <x:c r="T580" s="14" t="str"/>
      <x:c r="U580" s="19" t="n">
        <x:v>46303</x:v>
      </x:c>
    </x:row>
    <x:row r="581" ht="68" customHeight="1">
      <x:c r="A581" s="14" t="str">
        <x:v>D-9D34D714</x:v>
      </x:c>
      <x:c r="B581" s="14" t="str">
        <x:v>在线阅读</x:v>
      </x:c>
      <x:c r="C581" s="14" t="str">
        <x:v>cregg 包（AMCE 与边际均值）</x:v>
      </x:c>
      <x:c r="D581" s="14" t="str">
        <x:v>英文</x:v>
      </x:c>
      <x:c r="E581" s="15" t="str">
        <x:v>未处理</x:v>
      </x:c>
      <x:c r="F581" s="15" t="str"/>
      <x:c r="G581" s="16" t="str">
        <x:v>https://github.com/leeper/cregg</x:v>
      </x:c>
      <x:c r="H581" s="14" t="str">
        <x:v>C09</x:v>
      </x:c>
      <x:c r="I581" s="14" t="str">
        <x:v>方法/软件项目</x:v>
      </x:c>
      <x:c r="J581" s="18" t="str"/>
      <x:c r="K581" s="14" t="str">
        <x:v>教材 / 说明书 / 网页</x:v>
      </x:c>
      <x:c r="L581" s="14" t="str">
        <x:v>选读</x:v>
      </x:c>
      <x:c r="M581" s="14" t="str">
        <x:v>以网页课程、在线章节或项目文档形式提供。</x:v>
      </x:c>
      <x:c r="N581" s="14" t="str">
        <x:v>打开官方入口，使用站点提供的下载功能；网页教程可继续在线使用。</x:v>
      </x:c>
      <x:c r="O581" s="14" t="str">
        <x:v>本条目的方法说明、参数、示例或诊断入口。</x:v>
      </x:c>
      <x:c r="P581" s="14" t="str"/>
      <x:c r="Q581" s="14" t="str"/>
      <x:c r="R581" s="17"/>
      <x:c r="S581" s="14" t="str"/>
      <x:c r="T581" s="14" t="str"/>
      <x:c r="U581" s="19" t="n">
        <x:v>46303</x:v>
      </x:c>
    </x:row>
    <x:row r="582" ht="68" customHeight="1">
      <x:c r="A582" s="14" t="str">
        <x:v>D-927C2D5D</x:v>
      </x:c>
      <x:c r="B582" s="14" t="str">
        <x:v>在线阅读</x:v>
      </x:c>
      <x:c r="C582" s="14" t="str">
        <x:v>list 包（列举实验）</x:v>
      </x:c>
      <x:c r="D582" s="14" t="str">
        <x:v>英文</x:v>
      </x:c>
      <x:c r="E582" s="15" t="str">
        <x:v>未处理</x:v>
      </x:c>
      <x:c r="F582" s="15" t="str"/>
      <x:c r="G582" s="16" t="str">
        <x:v>https://cran.r-project.org/package=list</x:v>
      </x:c>
      <x:c r="H582" s="14" t="str">
        <x:v>C10</x:v>
      </x:c>
      <x:c r="I582" s="14" t="str">
        <x:v>方法/软件项目</x:v>
      </x:c>
      <x:c r="J582" s="18" t="str"/>
      <x:c r="K582" s="14" t="str">
        <x:v>教材 / 说明书 / 网页</x:v>
      </x:c>
      <x:c r="L582" s="14" t="str">
        <x:v>选读</x:v>
      </x:c>
      <x:c r="M582" s="14" t="str">
        <x:v>以网页课程、在线章节或项目文档形式提供。</x:v>
      </x:c>
      <x:c r="N582" s="14" t="str">
        <x:v>打开官方入口，使用站点提供的下载功能；网页教程可继续在线使用。</x:v>
      </x:c>
      <x:c r="O582" s="14" t="str">
        <x:v>本条目的方法说明、参数、示例或诊断入口。</x:v>
      </x:c>
      <x:c r="P582" s="14" t="str"/>
      <x:c r="Q582" s="14" t="str"/>
      <x:c r="R582" s="17"/>
      <x:c r="S582" s="14" t="str"/>
      <x:c r="T582" s="14" t="str"/>
      <x:c r="U582" s="19" t="n">
        <x:v>46303</x:v>
      </x:c>
    </x:row>
    <x:row r="583" ht="68" customHeight="1">
      <x:c r="A583" s="14" t="str">
        <x:v>D-3708F973</x:v>
      </x:c>
      <x:c r="B583" s="14" t="str">
        <x:v>在线阅读</x:v>
      </x:c>
      <x:c r="C583" s="14" t="str">
        <x:v>rr 包（随机应答）</x:v>
      </x:c>
      <x:c r="D583" s="14" t="str">
        <x:v>英文</x:v>
      </x:c>
      <x:c r="E583" s="15" t="str">
        <x:v>未处理</x:v>
      </x:c>
      <x:c r="F583" s="15" t="str"/>
      <x:c r="G583" s="16" t="str">
        <x:v>https://cran.r-project.org/package=rr</x:v>
      </x:c>
      <x:c r="H583" s="14" t="str">
        <x:v>C10</x:v>
      </x:c>
      <x:c r="I583" s="14" t="str">
        <x:v>方法/软件项目</x:v>
      </x:c>
      <x:c r="J583" s="18" t="str"/>
      <x:c r="K583" s="14" t="str">
        <x:v>教材 / 说明书 / 网页</x:v>
      </x:c>
      <x:c r="L583" s="14" t="str">
        <x:v>选读</x:v>
      </x:c>
      <x:c r="M583" s="14" t="str">
        <x:v>以网页课程、在线章节或项目文档形式提供。</x:v>
      </x:c>
      <x:c r="N583" s="14" t="str">
        <x:v>打开官方入口，使用站点提供的下载功能；网页教程可继续在线使用。</x:v>
      </x:c>
      <x:c r="O583" s="14" t="str">
        <x:v>本条目的方法说明、参数、示例或诊断入口。</x:v>
      </x:c>
      <x:c r="P583" s="14" t="str"/>
      <x:c r="Q583" s="14" t="str"/>
      <x:c r="R583" s="17"/>
      <x:c r="S583" s="14" t="str"/>
      <x:c r="T583" s="14" t="str"/>
      <x:c r="U583" s="19" t="n">
        <x:v>46303</x:v>
      </x:c>
    </x:row>
    <x:row r="584" ht="68" customHeight="1">
      <x:c r="A584" s="14" t="str">
        <x:v>D-6C245DC5</x:v>
      </x:c>
      <x:c r="B584" s="14" t="str">
        <x:v>在线阅读</x:v>
      </x:c>
      <x:c r="C584" s="14" t="str">
        <x:v>correlation 包（easystats）</x:v>
      </x:c>
      <x:c r="D584" s="14" t="str">
        <x:v>英文</x:v>
      </x:c>
      <x:c r="E584" s="15" t="str">
        <x:v>未处理</x:v>
      </x:c>
      <x:c r="F584" s="15" t="str"/>
      <x:c r="G584" s="16" t="str">
        <x:v>https://easystats.github.io/correlation/</x:v>
      </x:c>
      <x:c r="H584" s="14" t="str">
        <x:v>D01</x:v>
      </x:c>
      <x:c r="I584" s="14" t="str">
        <x:v>方法/软件项目</x:v>
      </x:c>
      <x:c r="J584" s="18" t="str"/>
      <x:c r="K584" s="14" t="str">
        <x:v>教材 / 说明书 / 网页</x:v>
      </x:c>
      <x:c r="L584" s="14" t="str">
        <x:v>选读</x:v>
      </x:c>
      <x:c r="M584" s="14" t="str">
        <x:v>以网页课程、在线章节或项目文档形式提供。</x:v>
      </x:c>
      <x:c r="N584" s="14" t="str">
        <x:v>打开官方入口，使用站点提供的下载功能；网页教程可继续在线使用。</x:v>
      </x:c>
      <x:c r="O584" s="14" t="str">
        <x:v>本条目的方法说明、参数、示例或诊断入口。</x:v>
      </x:c>
      <x:c r="P584" s="14" t="str"/>
      <x:c r="Q584" s="14" t="str"/>
      <x:c r="R584" s="17"/>
      <x:c r="S584" s="14" t="str"/>
      <x:c r="T584" s="14" t="str"/>
      <x:c r="U584" s="19" t="n">
        <x:v>46303</x:v>
      </x:c>
    </x:row>
    <x:row r="585" ht="68" customHeight="1">
      <x:c r="A585" s="14" t="str">
        <x:v>D-AAD0ACD0</x:v>
      </x:c>
      <x:c r="B585" s="14" t="str">
        <x:v>在线阅读</x:v>
      </x:c>
      <x:c r="C585" s="14" t="str">
        <x:v>R语言教程 · 32 R相关与回归</x:v>
      </x:c>
      <x:c r="D585" s="14" t="str">
        <x:v>中文</x:v>
      </x:c>
      <x:c r="E585" s="15" t="str">
        <x:v>未处理</x:v>
      </x:c>
      <x:c r="F585" s="15" t="str"/>
      <x:c r="G585" s="16" t="str">
        <x:v>https://math.pku.edu.cn/teachers/lidf/docs/Rbook/html/_Rbook/stat-reg.html</x:v>
      </x:c>
      <x:c r="H585" s="14" t="str">
        <x:v>D01；D02</x:v>
      </x:c>
      <x:c r="I585" s="14" t="str">
        <x:v>李东风 · 北京大学</x:v>
      </x:c>
      <x:c r="J585" s="18" t="str"/>
      <x:c r="K585" s="14" t="str">
        <x:v>教材 / 说明书 / 网页</x:v>
      </x:c>
      <x:c r="L585" s="14" t="str">
        <x:v>选读</x:v>
      </x:c>
      <x:c r="M585" s="14" t="str">
        <x:v>以网页课程、在线章节或项目文档形式提供。</x:v>
      </x:c>
      <x:c r="N585" s="14" t="str">
        <x:v>打开官方入口，使用站点提供的下载功能；网页教程可继续在线使用。</x:v>
      </x:c>
      <x:c r="O585" s="14" t="str">
        <x:v>作者课程讲义，含 R 示例与章节练习。</x:v>
      </x:c>
      <x:c r="P585" s="14" t="str"/>
      <x:c r="Q585" s="14" t="str"/>
      <x:c r="R585" s="17"/>
      <x:c r="S585" s="14" t="str"/>
      <x:c r="T585" s="14" t="str"/>
      <x:c r="U585" s="19" t="n">
        <x:v>46303</x:v>
      </x:c>
    </x:row>
    <x:row r="586" ht="68" customHeight="1">
      <x:c r="A586" s="14" t="str">
        <x:v>D-82460D17</x:v>
      </x:c>
      <x:c r="B586" s="14" t="str">
        <x:v>在线阅读</x:v>
      </x:c>
      <x:c r="C586" s="14" t="str">
        <x:v>NIST Process Modeling</x:v>
      </x:c>
      <x:c r="D586" s="14" t="str">
        <x:v>英文</x:v>
      </x:c>
      <x:c r="E586" s="15" t="str">
        <x:v>未处理</x:v>
      </x:c>
      <x:c r="F586" s="15" t="str"/>
      <x:c r="G586" s="16" t="str">
        <x:v>https://www.itl.nist.gov/div898/handbook/pmd/pmd.htm</x:v>
      </x:c>
      <x:c r="H586" s="14" t="str">
        <x:v>D01；D02；D03；D04；D05；D06；D07；D08；D09</x:v>
      </x:c>
      <x:c r="I586" s="14" t="str">
        <x:v>NIST</x:v>
      </x:c>
      <x:c r="J586" s="18" t="str"/>
      <x:c r="K586" s="14" t="str">
        <x:v>教材 / 说明书 / 网页</x:v>
      </x:c>
      <x:c r="L586" s="14" t="str">
        <x:v>选读</x:v>
      </x:c>
      <x:c r="M586" s="14" t="str">
        <x:v>以网页课程、在线章节或项目文档形式提供。</x:v>
      </x:c>
      <x:c r="N586" s="14" t="str">
        <x:v>打开官方入口，使用站点提供的下载功能；网页教程可继续在线使用。</x:v>
      </x:c>
      <x:c r="O586" s="14" t="str">
        <x:v>模型设定、残差、非线性、稳健性和案例数据。</x:v>
      </x:c>
      <x:c r="P586" s="14" t="str"/>
      <x:c r="Q586" s="14" t="str"/>
      <x:c r="R586" s="17"/>
      <x:c r="S586" s="14" t="str"/>
      <x:c r="T586" s="14" t="str"/>
      <x:c r="U586" s="19" t="n">
        <x:v>46303</x:v>
      </x:c>
    </x:row>
    <x:row r="587" ht="68" customHeight="1">
      <x:c r="A587" s="14" t="str">
        <x:v>D-7C58171C</x:v>
      </x:c>
      <x:c r="B587" s="14" t="str">
        <x:v>在线阅读</x:v>
      </x:c>
      <x:c r="C587" s="14" t="str">
        <x:v>R linear-model documentation</x:v>
      </x:c>
      <x:c r="D587" s="14" t="str">
        <x:v>英文</x:v>
      </x:c>
      <x:c r="E587" s="15" t="str">
        <x:v>未处理</x:v>
      </x:c>
      <x:c r="F587" s="15" t="str"/>
      <x:c r="G587" s="16" t="str">
        <x:v>https://stat.ethz.ch/R-manual/R-devel/library/stats/html/lm.html</x:v>
      </x:c>
      <x:c r="H587" s="14" t="str">
        <x:v>D01；D02；D03；D04；D05；D06；D07；D08；D09</x:v>
      </x:c>
      <x:c r="I587" s="14" t="str">
        <x:v>R Core Team</x:v>
      </x:c>
      <x:c r="J587" s="18" t="str"/>
      <x:c r="K587" s="14" t="str">
        <x:v>教材 / 说明书 / 网页</x:v>
      </x:c>
      <x:c r="L587" s="14" t="str">
        <x:v>选读</x:v>
      </x:c>
      <x:c r="M587" s="14" t="str">
        <x:v>以网页课程、在线章节或项目文档形式提供。</x:v>
      </x:c>
      <x:c r="N587" s="14" t="str">
        <x:v>打开官方入口，使用站点提供的下载功能；网页教程可继续在线使用。</x:v>
      </x:c>
      <x:c r="O587" s="14" t="str">
        <x:v>lm 的公式、权重、缺失处理、返回值和可运行示例。</x:v>
      </x:c>
      <x:c r="P587" s="14" t="str"/>
      <x:c r="Q587" s="14" t="str"/>
      <x:c r="R587" s="17"/>
      <x:c r="S587" s="14" t="str"/>
      <x:c r="T587" s="14" t="str"/>
      <x:c r="U587" s="19" t="n">
        <x:v>46303</x:v>
      </x:c>
    </x:row>
    <x:row r="588" ht="68" customHeight="1">
      <x:c r="A588" s="14" t="str">
        <x:v>D-AE89AD69</x:v>
      </x:c>
      <x:c r="B588" s="14" t="str">
        <x:v>在线阅读</x:v>
      </x:c>
      <x:c r="C588" s="14" t="str">
        <x:v>STAT 501: Regression Methods</x:v>
      </x:c>
      <x:c r="D588" s="14" t="str">
        <x:v>英文</x:v>
      </x:c>
      <x:c r="E588" s="15" t="str">
        <x:v>未处理</x:v>
      </x:c>
      <x:c r="F588" s="15" t="str"/>
      <x:c r="G588" s="16" t="str">
        <x:v>https://online.stat.psu.edu/stat501/</x:v>
      </x:c>
      <x:c r="H588" s="14" t="str">
        <x:v>D01；D02；D03；D04；D05；D06；D07；D08；D09</x:v>
      </x:c>
      <x:c r="I588" s="14" t="str">
        <x:v>Penn State Statistics</x:v>
      </x:c>
      <x:c r="J588" s="18" t="str"/>
      <x:c r="K588" s="14" t="str">
        <x:v>教材 / 说明书 / 网页</x:v>
      </x:c>
      <x:c r="L588" s="14" t="str">
        <x:v>选读</x:v>
      </x:c>
      <x:c r="M588" s="14" t="str">
        <x:v>以网页课程、在线章节或项目文档形式提供。</x:v>
      </x:c>
      <x:c r="N588" s="14" t="str">
        <x:v>打开官方入口，使用站点提供的下载功能；网页教程可继续在线使用。</x:v>
      </x:c>
      <x:c r="O588" s="14" t="str">
        <x:v>线性与多元回归、变换、诊断、影响点和逻辑回归。</x:v>
      </x:c>
      <x:c r="P588" s="14" t="str"/>
      <x:c r="Q588" s="14" t="str"/>
      <x:c r="R588" s="17"/>
      <x:c r="S588" s="14" t="str"/>
      <x:c r="T588" s="14" t="str"/>
      <x:c r="U588" s="19" t="n">
        <x:v>46303</x:v>
      </x:c>
    </x:row>
    <x:row r="589" ht="68" customHeight="1">
      <x:c r="A589" s="14" t="str">
        <x:v>D-318C0F04</x:v>
      </x:c>
      <x:c r="B589" s="14" t="str">
        <x:v>在线阅读</x:v>
      </x:c>
      <x:c r="C589" s="14" t="str">
        <x:v>Regression and Other Stories · 书与数据、代码</x:v>
      </x:c>
      <x:c r="D589" s="14" t="str">
        <x:v>英文</x:v>
      </x:c>
      <x:c r="E589" s="15" t="str">
        <x:v>未处理</x:v>
      </x:c>
      <x:c r="F589" s="15" t="str"/>
      <x:c r="G589" s="16" t="str">
        <x:v>https://avehtari.github.io/ROS-Examples/</x:v>
      </x:c>
      <x:c r="H589" s="14" t="str">
        <x:v>D01；H11；O03</x:v>
      </x:c>
      <x:c r="I589" s="14" t="str">
        <x:v>Andrew Gelman; Jennifer Hill; Aki Vehtari</x:v>
      </x:c>
      <x:c r="J589" s="18" t="str"/>
      <x:c r="K589" s="14" t="str">
        <x:v>教学</x:v>
      </x:c>
      <x:c r="L589" s="14" t="str">
        <x:v>选读</x:v>
      </x:c>
      <x:c r="M589" s="14" t="str">
        <x:v>以网页课程、在线章节或项目文档形式提供。</x:v>
      </x:c>
      <x:c r="N589" s="14" t="str">
        <x:v>打开官方入口，使用站点提供的下载功能；网页教程可继续在线使用。</x:v>
      </x:c>
      <x:c r="O589" s="14" t="str">
        <x:v>回归建模与研究设计的案例库；按数据集进入代码。</x:v>
      </x:c>
      <x:c r="P589" s="14" t="str"/>
      <x:c r="Q589" s="14" t="str"/>
      <x:c r="R589" s="17"/>
      <x:c r="S589" s="14" t="str"/>
      <x:c r="T589" s="14" t="str"/>
      <x:c r="U589" s="19" t="n">
        <x:v>46303</x:v>
      </x:c>
    </x:row>
    <x:row r="590" ht="68" customHeight="1">
      <x:c r="A590" s="14" t="str">
        <x:v>D-E4761956</x:v>
      </x:c>
      <x:c r="B590" s="14" t="str">
        <x:v>在线阅读</x:v>
      </x:c>
      <x:c r="C590" s="14" t="str">
        <x:v>Introduction to Econometrics with R</x:v>
      </x:c>
      <x:c r="D590" s="14" t="str">
        <x:v>英文</x:v>
      </x:c>
      <x:c r="E590" s="15" t="str">
        <x:v>未处理</x:v>
      </x:c>
      <x:c r="F590" s="15" t="str"/>
      <x:c r="G590" s="16" t="str">
        <x:v>https://www.econometrics-with-r.org/</x:v>
      </x:c>
      <x:c r="H590" s="14" t="str">
        <x:v>D02</x:v>
      </x:c>
      <x:c r="I590" s="14" t="str">
        <x:v>Hanck 等（免费在线书 + 代码）</x:v>
      </x:c>
      <x:c r="J590" s="18" t="str"/>
      <x:c r="K590" s="14" t="str">
        <x:v>教材 / 说明书 / 网页</x:v>
      </x:c>
      <x:c r="L590" s="14" t="str">
        <x:v>选读</x:v>
      </x:c>
      <x:c r="M590" s="14" t="str">
        <x:v>以网页课程、在线章节或项目文档形式提供。</x:v>
      </x:c>
      <x:c r="N590" s="14" t="str">
        <x:v>打开官方入口，使用站点提供的下载功能；网页教程可继续在线使用。</x:v>
      </x:c>
      <x:c r="O590" s="14" t="str">
        <x:v>回归假设与稳健标准误讲得最清楚的免费资源</x:v>
      </x:c>
      <x:c r="P590" s="14" t="str"/>
      <x:c r="Q590" s="14" t="str"/>
      <x:c r="R590" s="17"/>
      <x:c r="S590" s="14" t="str"/>
      <x:c r="T590" s="14" t="str"/>
      <x:c r="U590" s="19" t="n">
        <x:v>46303</x:v>
      </x:c>
    </x:row>
    <x:row r="591" ht="68" customHeight="1">
      <x:c r="A591" s="14" t="str">
        <x:v>D-5AD1C849</x:v>
      </x:c>
      <x:c r="B591" s="14" t="str">
        <x:v>在线阅读</x:v>
      </x:c>
      <x:c r="C591" s="14" t="str">
        <x:v>动手学深度学习 · 线性回归的从零开始实现</x:v>
      </x:c>
      <x:c r="D591" s="14" t="str">
        <x:v>中文</x:v>
      </x:c>
      <x:c r="E591" s="15" t="str">
        <x:v>未处理</x:v>
      </x:c>
      <x:c r="F591" s="15" t="str"/>
      <x:c r="G591" s="16" t="str">
        <x:v>https://zh-v2.d2l.ai/chapter_linear-networks/linear-regression-scratch.html</x:v>
      </x:c>
      <x:c r="H591" s="14" t="str">
        <x:v>D02</x:v>
      </x:c>
      <x:c r="I591" s="14" t="str">
        <x:v>张阿斯顿、李沐等</x:v>
      </x:c>
      <x:c r="J591" s="18" t="str"/>
      <x:c r="K591" s="14" t="str">
        <x:v>教材 / 说明书 / 网页</x:v>
      </x:c>
      <x:c r="L591" s="14" t="str">
        <x:v>选读</x:v>
      </x:c>
      <x:c r="M591" s="14" t="str">
        <x:v>以网页课程、在线章节或项目文档形式提供。</x:v>
      </x:c>
      <x:c r="N591" s="14" t="str">
        <x:v>打开官方入口，使用站点提供的下载功能；网页教程可继续在线使用。</x:v>
      </x:c>
      <x:c r="O591" s="14" t="str">
        <x:v>作者开放教材章节，含代码和练习。</x:v>
      </x:c>
      <x:c r="P591" s="14" t="str"/>
      <x:c r="Q591" s="14" t="str"/>
      <x:c r="R591" s="17"/>
      <x:c r="S591" s="14" t="str"/>
      <x:c r="T591" s="14" t="str"/>
      <x:c r="U591" s="19" t="n">
        <x:v>46303</x:v>
      </x:c>
    </x:row>
    <x:row r="592" ht="68" customHeight="1">
      <x:c r="A592" s="14" t="str">
        <x:v>D-4A84DD36</x:v>
      </x:c>
      <x:c r="B592" s="14" t="str">
        <x:v>在线阅读</x:v>
      </x:c>
      <x:c r="C592" s="14" t="str">
        <x:v>marginaleffects 包（边际效应，跨模型可比）</x:v>
      </x:c>
      <x:c r="D592" s="14" t="str">
        <x:v>英文</x:v>
      </x:c>
      <x:c r="E592" s="15" t="str">
        <x:v>未处理</x:v>
      </x:c>
      <x:c r="F592" s="15" t="str"/>
      <x:c r="G592" s="16" t="str">
        <x:v>https://marginaleffects.com/</x:v>
      </x:c>
      <x:c r="H592" s="14" t="str">
        <x:v>D02；D03；D09</x:v>
      </x:c>
      <x:c r="I592" s="14" t="str">
        <x:v>方法/软件项目</x:v>
      </x:c>
      <x:c r="J592" s="18" t="str"/>
      <x:c r="K592" s="14" t="str">
        <x:v>教材 / 说明书 / 网页</x:v>
      </x:c>
      <x:c r="L592" s="14" t="str">
        <x:v>选读</x:v>
      </x:c>
      <x:c r="M592" s="14" t="str">
        <x:v>以网页课程、在线章节或项目文档形式提供。</x:v>
      </x:c>
      <x:c r="N592" s="14" t="str">
        <x:v>打开官方入口，使用站点提供的下载功能；网页教程可继续在线使用。</x:v>
      </x:c>
      <x:c r="O592" s="14" t="str">
        <x:v>本条目的方法说明、参数、示例或诊断入口。</x:v>
      </x:c>
      <x:c r="P592" s="14" t="str"/>
      <x:c r="Q592" s="14" t="str"/>
      <x:c r="R592" s="17"/>
      <x:c r="S592" s="14" t="str"/>
      <x:c r="T592" s="14" t="str"/>
      <x:c r="U592" s="19" t="n">
        <x:v>46303</x:v>
      </x:c>
    </x:row>
    <x:row r="593" ht="68" customHeight="1">
      <x:c r="A593" s="14" t="str">
        <x:v>D-CD6F8930</x:v>
      </x:c>
      <x:c r="B593" s="14" t="str">
        <x:v>在线阅读</x:v>
      </x:c>
      <x:c r="C593" s="14" t="str">
        <x:v>performance 包（一键回归诊断）</x:v>
      </x:c>
      <x:c r="D593" s="14" t="str">
        <x:v>英文</x:v>
      </x:c>
      <x:c r="E593" s="15" t="str">
        <x:v>未处理</x:v>
      </x:c>
      <x:c r="F593" s="15" t="str"/>
      <x:c r="G593" s="16" t="str">
        <x:v>https://easystats.github.io/performance/</x:v>
      </x:c>
      <x:c r="H593" s="14" t="str">
        <x:v>D02；D03；N03</x:v>
      </x:c>
      <x:c r="I593" s="14" t="str">
        <x:v>方法/软件项目</x:v>
      </x:c>
      <x:c r="J593" s="18" t="str"/>
      <x:c r="K593" s="14" t="str">
        <x:v>教材 / 说明书 / 网页</x:v>
      </x:c>
      <x:c r="L593" s="14" t="str">
        <x:v>选读</x:v>
      </x:c>
      <x:c r="M593" s="14" t="str">
        <x:v>以网页课程、在线章节或项目文档形式提供。</x:v>
      </x:c>
      <x:c r="N593" s="14" t="str">
        <x:v>打开官方入口，使用站点提供的下载功能；网页教程可继续在线使用。</x:v>
      </x:c>
      <x:c r="O593" s="14" t="str">
        <x:v>本条目的方法说明、参数、示例或诊断入口。</x:v>
      </x:c>
      <x:c r="P593" s="14" t="str"/>
      <x:c r="Q593" s="14" t="str"/>
      <x:c r="R593" s="17"/>
      <x:c r="S593" s="14" t="str"/>
      <x:c r="T593" s="14" t="str"/>
      <x:c r="U593" s="19" t="n">
        <x:v>46303</x:v>
      </x:c>
    </x:row>
    <x:row r="594" ht="68" customHeight="1">
      <x:c r="A594" s="14" t="str">
        <x:v>D-73D879FD</x:v>
      </x:c>
      <x:c r="B594" s="14" t="str">
        <x:v>在线阅读</x:v>
      </x:c>
      <x:c r="C594" s="14" t="str">
        <x:v>R语言教程 · 33 R多元回归</x:v>
      </x:c>
      <x:c r="D594" s="14" t="str">
        <x:v>中文</x:v>
      </x:c>
      <x:c r="E594" s="15" t="str">
        <x:v>未处理</x:v>
      </x:c>
      <x:c r="F594" s="15" t="str"/>
      <x:c r="G594" s="16" t="str">
        <x:v>https://math.pku.edu.cn/teachers/lidf/docs/Rbook/html/_Rbook/stat-mreg.html</x:v>
      </x:c>
      <x:c r="H594" s="14" t="str">
        <x:v>D02；D05；D06；D07；O02</x:v>
      </x:c>
      <x:c r="I594" s="14" t="str">
        <x:v>李东风 · 北京大学</x:v>
      </x:c>
      <x:c r="J594" s="18" t="str"/>
      <x:c r="K594" s="14" t="str">
        <x:v>教材 / 说明书 / 网页</x:v>
      </x:c>
      <x:c r="L594" s="14" t="str">
        <x:v>选读</x:v>
      </x:c>
      <x:c r="M594" s="14" t="str">
        <x:v>以网页课程、在线章节或项目文档形式提供。</x:v>
      </x:c>
      <x:c r="N594" s="14" t="str">
        <x:v>打开官方入口，使用站点提供的下载功能；网页教程可继续在线使用。</x:v>
      </x:c>
      <x:c r="O594" s="14" t="str">
        <x:v>作者课程讲义，含 R 示例与章节练习。</x:v>
      </x:c>
      <x:c r="P594" s="14" t="str"/>
      <x:c r="Q594" s="14" t="str"/>
      <x:c r="R594" s="17"/>
      <x:c r="S594" s="14" t="str"/>
      <x:c r="T594" s="14" t="str"/>
      <x:c r="U594" s="19" t="n">
        <x:v>46303</x:v>
      </x:c>
    </x:row>
    <x:row r="595" ht="68" customHeight="1">
      <x:c r="A595" s="14" t="str">
        <x:v>D-A8DDD943</x:v>
      </x:c>
      <x:c r="B595" s="14" t="str">
        <x:v>在线阅读</x:v>
      </x:c>
      <x:c r="C595" s="14" t="str">
        <x:v>Beyond Multiple Linear Regression · 第 6 章 Logistic 回归（免费）</x:v>
      </x:c>
      <x:c r="D595" s="14" t="str">
        <x:v>英文</x:v>
      </x:c>
      <x:c r="E595" s="15" t="str">
        <x:v>未处理</x:v>
      </x:c>
      <x:c r="F595" s="15" t="str"/>
      <x:c r="G595" s="16" t="str">
        <x:v>https://bookdown.org/roback/bookdown-BeyondMLR/ch-logreg.html</x:v>
      </x:c>
      <x:c r="H595" s="14" t="str">
        <x:v>D03</x:v>
      </x:c>
      <x:c r="I595" s="14" t="str">
        <x:v>bookdown.org</x:v>
      </x:c>
      <x:c r="J595" s="18" t="str"/>
      <x:c r="K595" s="14" t="str">
        <x:v>教材 / 说明书 / 网页</x:v>
      </x:c>
      <x:c r="L595" s="14" t="str">
        <x:v>选读</x:v>
      </x:c>
      <x:c r="M595" s="14" t="str">
        <x:v>以网页课程、在线章节或项目文档形式提供。</x:v>
      </x:c>
      <x:c r="N595" s="14" t="str">
        <x:v>打开官方入口，使用站点提供的下载功能；网页教程可继续在线使用。</x:v>
      </x:c>
      <x:c r="O595" s="14" t="str">
        <x:v>官方说明与使用示例。</x:v>
      </x:c>
      <x:c r="P595" s="14" t="str"/>
      <x:c r="Q595" s="14" t="str"/>
      <x:c r="R595" s="17"/>
      <x:c r="S595" s="14" t="str"/>
      <x:c r="T595" s="14" t="str"/>
      <x:c r="U595" s="19" t="n">
        <x:v>46303</x:v>
      </x:c>
    </x:row>
    <x:row r="596" ht="68" customHeight="1">
      <x:c r="A596" s="14" t="str">
        <x:v>D-26597896</x:v>
      </x:c>
      <x:c r="B596" s="14" t="str">
        <x:v>在线阅读</x:v>
      </x:c>
      <x:c r="C596" s="14" t="str">
        <x:v>Beyond Multiple Linear Regression（Roback &amp; Legler，免费在线书）</x:v>
      </x:c>
      <x:c r="D596" s="14" t="str">
        <x:v>英文</x:v>
      </x:c>
      <x:c r="E596" s="15" t="str">
        <x:v>未处理</x:v>
      </x:c>
      <x:c r="F596" s="15" t="str"/>
      <x:c r="G596" s="16" t="str">
        <x:v>https://bookdown.org/roback/bookdown-BeyondMLR/</x:v>
      </x:c>
      <x:c r="H596" s="14" t="str">
        <x:v>D03</x:v>
      </x:c>
      <x:c r="I596" s="14" t="str">
        <x:v>Paul Roback &amp; Julie Legler（St. Olaf College）</x:v>
      </x:c>
      <x:c r="J596" s="18" t="str"/>
      <x:c r="K596" s="14" t="str">
        <x:v>教材 / 说明书 / 网页</x:v>
      </x:c>
      <x:c r="L596" s="14" t="str">
        <x:v>选读</x:v>
      </x:c>
      <x:c r="M596" s="14" t="str">
        <x:v>以网页课程、在线章节或项目文档形式提供。</x:v>
      </x:c>
      <x:c r="N596" s="14" t="str">
        <x:v>打开官方入口，使用站点提供的下载功能；网页教程可继续在线使用。</x:v>
      </x:c>
      <x:c r="O596" s="14" t="str">
        <x:v>第 6 章用真实案例讲二项与二元 logistic，每章配概念题、引导题、开放题三类练习，最适合自学</x:v>
      </x:c>
      <x:c r="P596" s="14" t="str"/>
      <x:c r="Q596" s="14" t="str"/>
      <x:c r="R596" s="17"/>
      <x:c r="S596" s="14" t="str"/>
      <x:c r="T596" s="14" t="str"/>
      <x:c r="U596" s="19" t="n">
        <x:v>46303</x:v>
      </x:c>
    </x:row>
    <x:row r="597" ht="68" customHeight="1">
      <x:c r="A597" s="14" t="str">
        <x:v>D-562CBBCC</x:v>
      </x:c>
      <x:c r="B597" s="14" t="str">
        <x:v>在线阅读</x:v>
      </x:c>
      <x:c r="C597" s="14" t="str">
        <x:v>DHARMa 残差诊断官方站</x:v>
      </x:c>
      <x:c r="D597" s="14" t="str">
        <x:v>英文</x:v>
      </x:c>
      <x:c r="E597" s="15" t="str">
        <x:v>未处理</x:v>
      </x:c>
      <x:c r="F597" s="15" t="str"/>
      <x:c r="G597" s="16" t="str">
        <x:v>http://florianhartig.github.io/DHARMa/</x:v>
      </x:c>
      <x:c r="H597" s="14" t="str">
        <x:v>D03；D04</x:v>
      </x:c>
      <x:c r="I597" s="14" t="str">
        <x:v>florianhartig.github.io</x:v>
      </x:c>
      <x:c r="J597" s="18" t="str"/>
      <x:c r="K597" s="14" t="str">
        <x:v>教材 / 说明书 / 网页</x:v>
      </x:c>
      <x:c r="L597" s="14" t="str">
        <x:v>选读</x:v>
      </x:c>
      <x:c r="M597" s="14" t="str">
        <x:v>以网页课程、在线章节或项目文档形式提供。</x:v>
      </x:c>
      <x:c r="N597" s="14" t="str">
        <x:v>打开官方入口，使用站点提供的下载功能；网页教程可继续在线使用。</x:v>
      </x:c>
      <x:c r="O597" s="14" t="str">
        <x:v>官方说明与使用示例。</x:v>
      </x:c>
      <x:c r="P597" s="14" t="str"/>
      <x:c r="Q597" s="14" t="str"/>
      <x:c r="R597" s="17"/>
      <x:c r="S597" s="14" t="str"/>
      <x:c r="T597" s="14" t="str"/>
      <x:c r="U597" s="19" t="n">
        <x:v>46303</x:v>
      </x:c>
    </x:row>
    <x:row r="598" ht="68" customHeight="1">
      <x:c r="A598" s="14" t="str">
        <x:v>D-76422A9C</x:v>
      </x:c>
      <x:c r="B598" s="14" t="str">
        <x:v>在线阅读</x:v>
      </x:c>
      <x:c r="C598" s="14" t="str">
        <x:v>R语言教程 · 38 广义线性模型</x:v>
      </x:c>
      <x:c r="D598" s="14" t="str">
        <x:v>中文</x:v>
      </x:c>
      <x:c r="E598" s="15" t="str">
        <x:v>未处理</x:v>
      </x:c>
      <x:c r="F598" s="15" t="str"/>
      <x:c r="G598" s="16" t="str">
        <x:v>https://math.pku.edu.cn/teachers/lidf/docs/Rbook/html/_Rbook/stat-glm.html</x:v>
      </x:c>
      <x:c r="H598" s="14" t="str">
        <x:v>D03；D04</x:v>
      </x:c>
      <x:c r="I598" s="14" t="str">
        <x:v>李东风 · 北京大学</x:v>
      </x:c>
      <x:c r="J598" s="18" t="str"/>
      <x:c r="K598" s="14" t="str">
        <x:v>教材 / 说明书 / 网页</x:v>
      </x:c>
      <x:c r="L598" s="14" t="str">
        <x:v>选读</x:v>
      </x:c>
      <x:c r="M598" s="14" t="str">
        <x:v>以网页课程、在线章节或项目文档形式提供。</x:v>
      </x:c>
      <x:c r="N598" s="14" t="str">
        <x:v>打开官方入口，使用站点提供的下载功能；网页教程可继续在线使用。</x:v>
      </x:c>
      <x:c r="O598" s="14" t="str">
        <x:v>作者课程讲义，含 R 示例与章节练习。</x:v>
      </x:c>
      <x:c r="P598" s="14" t="str"/>
      <x:c r="Q598" s="14" t="str"/>
      <x:c r="R598" s="17"/>
      <x:c r="S598" s="14" t="str"/>
      <x:c r="T598" s="14" t="str"/>
      <x:c r="U598" s="19" t="n">
        <x:v>46303</x:v>
      </x:c>
    </x:row>
    <x:row r="599" ht="68" customHeight="1">
      <x:c r="A599" s="14" t="str">
        <x:v>D-1CD56463</x:v>
      </x:c>
      <x:c r="B599" s="14" t="str">
        <x:v>在线阅读</x:v>
      </x:c>
      <x:c r="C599" s="14" t="str">
        <x:v>动手学深度学习 · Softmax 回归</x:v>
      </x:c>
      <x:c r="D599" s="14" t="str">
        <x:v>中文</x:v>
      </x:c>
      <x:c r="E599" s="15" t="str">
        <x:v>未处理</x:v>
      </x:c>
      <x:c r="F599" s="15" t="str"/>
      <x:c r="G599" s="16" t="str">
        <x:v>https://zh-v2.d2l.ai/chapter_linear-networks/softmax-regression.html</x:v>
      </x:c>
      <x:c r="H599" s="14" t="str">
        <x:v>D03；M15</x:v>
      </x:c>
      <x:c r="I599" s="14" t="str">
        <x:v>张阿斯顿、李沐等</x:v>
      </x:c>
      <x:c r="J599" s="18" t="str"/>
      <x:c r="K599" s="14" t="str">
        <x:v>教材 / 说明书 / 网页</x:v>
      </x:c>
      <x:c r="L599" s="14" t="str">
        <x:v>选读</x:v>
      </x:c>
      <x:c r="M599" s="14" t="str">
        <x:v>以网页课程、在线章节或项目文档形式提供。</x:v>
      </x:c>
      <x:c r="N599" s="14" t="str">
        <x:v>打开官方入口，使用站点提供的下载功能；网页教程可继续在线使用。</x:v>
      </x:c>
      <x:c r="O599" s="14" t="str">
        <x:v>作者开放教材章节，含代码和练习。</x:v>
      </x:c>
      <x:c r="P599" s="14" t="str"/>
      <x:c r="Q599" s="14" t="str"/>
      <x:c r="R599" s="17"/>
      <x:c r="S599" s="14" t="str"/>
      <x:c r="T599" s="14" t="str"/>
      <x:c r="U599" s="19" t="n">
        <x:v>46303</x:v>
      </x:c>
    </x:row>
    <x:row r="600" ht="68" customHeight="1">
      <x:c r="A600" s="14" t="str">
        <x:v>D-1DBA33FB</x:v>
      </x:c>
      <x:c r="B600" s="14" t="str">
        <x:v>在线阅读</x:v>
      </x:c>
      <x:c r="C600" s="14" t="str">
        <x:v>Beyond Multiple Linear Regression · 第 4 章 泊松回归（含零膨胀与负二项，免费）</x:v>
      </x:c>
      <x:c r="D600" s="14" t="str">
        <x:v>英文</x:v>
      </x:c>
      <x:c r="E600" s="15" t="str">
        <x:v>未处理</x:v>
      </x:c>
      <x:c r="F600" s="15" t="str"/>
      <x:c r="G600" s="16" t="str">
        <x:v>https://bookdown.org/roback/bookdown-BeyondMLR/ch-poissonreg.html</x:v>
      </x:c>
      <x:c r="H600" s="14" t="str">
        <x:v>D04</x:v>
      </x:c>
      <x:c r="I600" s="14" t="str">
        <x:v>方法/软件项目</x:v>
      </x:c>
      <x:c r="J600" s="18" t="str"/>
      <x:c r="K600" s="14" t="str">
        <x:v>教材 / 说明书 / 网页</x:v>
      </x:c>
      <x:c r="L600" s="14" t="str">
        <x:v>选读</x:v>
      </x:c>
      <x:c r="M600" s="14" t="str">
        <x:v>以网页课程、在线章节或项目文档形式提供。</x:v>
      </x:c>
      <x:c r="N600" s="14" t="str">
        <x:v>打开官方入口，使用站点提供的下载功能；网页教程可继续在线使用。</x:v>
      </x:c>
      <x:c r="O600" s="14" t="str">
        <x:v>本条目的方法说明、参数、示例或诊断入口。</x:v>
      </x:c>
      <x:c r="P600" s="14" t="str"/>
      <x:c r="Q600" s="14" t="str"/>
      <x:c r="R600" s="17"/>
      <x:c r="S600" s="14" t="str"/>
      <x:c r="T600" s="14" t="str"/>
      <x:c r="U600" s="19" t="n">
        <x:v>46303</x:v>
      </x:c>
    </x:row>
    <x:row r="601" ht="68" customHeight="1">
      <x:c r="A601" s="14" t="str">
        <x:v>D-1E28DC1A</x:v>
      </x:c>
      <x:c r="B601" s="14" t="str">
        <x:v>在线阅读</x:v>
      </x:c>
      <x:c r="C601" s="14" t="str">
        <x:v>DHARMa 官方 vignette（模拟残差怎么读）</x:v>
      </x:c>
      <x:c r="D601" s="14" t="str">
        <x:v>英文</x:v>
      </x:c>
      <x:c r="E601" s="15" t="str">
        <x:v>未处理</x:v>
      </x:c>
      <x:c r="F601" s="15" t="str"/>
      <x:c r="G601" s="16" t="str">
        <x:v>https://cran.r-project.org/web/packages/DHARMa/vignettes/DHARMa.html</x:v>
      </x:c>
      <x:c r="H601" s="14" t="str">
        <x:v>D04</x:v>
      </x:c>
      <x:c r="I601" s="14" t="str">
        <x:v>Florian Hartig（雷根斯堡大学）</x:v>
      </x:c>
      <x:c r="J601" s="18" t="str"/>
      <x:c r="K601" s="14" t="str">
        <x:v>教材 / 说明书 / 网页</x:v>
      </x:c>
      <x:c r="L601" s="14" t="str">
        <x:v>选读</x:v>
      </x:c>
      <x:c r="M601" s="14" t="str">
        <x:v>以网页课程、在线章节或项目文档形式提供。</x:v>
      </x:c>
      <x:c r="N601" s="14" t="str">
        <x:v>打开官方入口，使用站点提供的下载功能；网页教程可继续在线使用。</x:v>
      </x:c>
      <x:c r="O601" s="14" t="str">
        <x:v>GLM 的残差图为什么难读、模拟残差怎么解决这个问题、每张诊断图分别在说什么——讲得非常具体</x:v>
      </x:c>
      <x:c r="P601" s="14" t="str"/>
      <x:c r="Q601" s="14" t="str"/>
      <x:c r="R601" s="17"/>
      <x:c r="S601" s="14" t="str"/>
      <x:c r="T601" s="14" t="str"/>
      <x:c r="U601" s="19" t="n">
        <x:v>46303</x:v>
      </x:c>
    </x:row>
    <x:row r="602" ht="68" customHeight="1">
      <x:c r="A602" s="14" t="str">
        <x:v>D-6CDBD976</x:v>
      </x:c>
      <x:c r="B602" s="14" t="str">
        <x:v>在线阅读</x:v>
      </x:c>
      <x:c r="C602" s="14" t="str">
        <x:v>DHARMa（GLM 残差诊断）</x:v>
      </x:c>
      <x:c r="D602" s="14" t="str">
        <x:v>英文</x:v>
      </x:c>
      <x:c r="E602" s="15" t="str">
        <x:v>未处理</x:v>
      </x:c>
      <x:c r="F602" s="15" t="str"/>
      <x:c r="G602" s="16" t="str">
        <x:v>https://cran.r-project.org/package=DHARMa</x:v>
      </x:c>
      <x:c r="H602" s="14" t="str">
        <x:v>D04</x:v>
      </x:c>
      <x:c r="I602" s="14" t="str">
        <x:v>方法/软件项目</x:v>
      </x:c>
      <x:c r="J602" s="18" t="str"/>
      <x:c r="K602" s="14" t="str">
        <x:v>教材 / 说明书 / 网页</x:v>
      </x:c>
      <x:c r="L602" s="14" t="str">
        <x:v>选读</x:v>
      </x:c>
      <x:c r="M602" s="14" t="str">
        <x:v>以网页课程、在线章节或项目文档形式提供。</x:v>
      </x:c>
      <x:c r="N602" s="14" t="str">
        <x:v>打开官方入口，使用站点提供的下载功能；网页教程可继续在线使用。</x:v>
      </x:c>
      <x:c r="O602" s="14" t="str">
        <x:v>本条目的方法说明、参数、示例或诊断入口。</x:v>
      </x:c>
      <x:c r="P602" s="14" t="str"/>
      <x:c r="Q602" s="14" t="str"/>
      <x:c r="R602" s="17"/>
      <x:c r="S602" s="14" t="str"/>
      <x:c r="T602" s="14" t="str"/>
      <x:c r="U602" s="19" t="n">
        <x:v>46303</x:v>
      </x:c>
    </x:row>
    <x:row r="603" ht="68" customHeight="1">
      <x:c r="A603" s="14" t="str">
        <x:v>D-551649F7</x:v>
      </x:c>
      <x:c r="B603" s="14" t="str">
        <x:v>在线阅读</x:v>
      </x:c>
      <x:c r="C603" s="14" t="str">
        <x:v>pscl 包（零膨胀与障碍模型）</x:v>
      </x:c>
      <x:c r="D603" s="14" t="str">
        <x:v>英文</x:v>
      </x:c>
      <x:c r="E603" s="15" t="str">
        <x:v>未处理</x:v>
      </x:c>
      <x:c r="F603" s="15" t="str"/>
      <x:c r="G603" s="16" t="str">
        <x:v>https://cran.r-project.org/package=pscl</x:v>
      </x:c>
      <x:c r="H603" s="14" t="str">
        <x:v>D04</x:v>
      </x:c>
      <x:c r="I603" s="14" t="str">
        <x:v>方法/软件项目</x:v>
      </x:c>
      <x:c r="J603" s="18" t="str"/>
      <x:c r="K603" s="14" t="str">
        <x:v>教材 / 说明书 / 网页</x:v>
      </x:c>
      <x:c r="L603" s="14" t="str">
        <x:v>选读</x:v>
      </x:c>
      <x:c r="M603" s="14" t="str">
        <x:v>以网页课程、在线章节或项目文档形式提供。</x:v>
      </x:c>
      <x:c r="N603" s="14" t="str">
        <x:v>打开官方入口，使用站点提供的下载功能；网页教程可继续在线使用。</x:v>
      </x:c>
      <x:c r="O603" s="14" t="str">
        <x:v>本条目的方法说明、参数、示例或诊断入口。</x:v>
      </x:c>
      <x:c r="P603" s="14" t="str"/>
      <x:c r="Q603" s="14" t="str"/>
      <x:c r="R603" s="17"/>
      <x:c r="S603" s="14" t="str"/>
      <x:c r="T603" s="14" t="str"/>
      <x:c r="U603" s="19" t="n">
        <x:v>46303</x:v>
      </x:c>
    </x:row>
    <x:row r="604" ht="68" customHeight="1">
      <x:c r="A604" s="14" t="str">
        <x:v>D-C1A6591E</x:v>
      </x:c>
      <x:c r="B604" s="14" t="str">
        <x:v>在线阅读</x:v>
      </x:c>
      <x:c r="C604" s="14" t="str">
        <x:v>lavaan 中介示例</x:v>
      </x:c>
      <x:c r="D604" s="14" t="str">
        <x:v>英文</x:v>
      </x:c>
      <x:c r="E604" s="15" t="str">
        <x:v>未处理</x:v>
      </x:c>
      <x:c r="F604" s="15" t="str"/>
      <x:c r="G604" s="16" t="str">
        <x:v>https://lavaan.ugent.be/tutorial/mediation.html</x:v>
      </x:c>
      <x:c r="H604" s="14" t="str">
        <x:v>D05</x:v>
      </x:c>
      <x:c r="I604" s="14" t="str">
        <x:v>方法/软件项目</x:v>
      </x:c>
      <x:c r="J604" s="18" t="str"/>
      <x:c r="K604" s="14" t="str">
        <x:v>教材 / 说明书 / 网页</x:v>
      </x:c>
      <x:c r="L604" s="14" t="str">
        <x:v>选读</x:v>
      </x:c>
      <x:c r="M604" s="14" t="str">
        <x:v>以网页课程、在线章节或项目文档形式提供。</x:v>
      </x:c>
      <x:c r="N604" s="14" t="str">
        <x:v>打开官方入口，使用站点提供的下载功能；网页教程可继续在线使用。</x:v>
      </x:c>
      <x:c r="O604" s="14" t="str">
        <x:v>本条目的方法说明、参数、示例或诊断入口。</x:v>
      </x:c>
      <x:c r="P604" s="14" t="str"/>
      <x:c r="Q604" s="14" t="str"/>
      <x:c r="R604" s="17"/>
      <x:c r="S604" s="14" t="str"/>
      <x:c r="T604" s="14" t="str"/>
      <x:c r="U604" s="19" t="n">
        <x:v>46303</x:v>
      </x:c>
    </x:row>
    <x:row r="605" ht="68" customHeight="1">
      <x:c r="A605" s="14" t="str">
        <x:v>D-12999887</x:v>
      </x:c>
      <x:c r="B605" s="14" t="str">
        <x:v>在线阅读</x:v>
      </x:c>
      <x:c r="C605" s="14" t="str">
        <x:v>PROCESS 宏官网（SPSS/SAS/R）</x:v>
      </x:c>
      <x:c r="D605" s="14" t="str">
        <x:v>英文</x:v>
      </x:c>
      <x:c r="E605" s="15" t="str">
        <x:v>未处理</x:v>
      </x:c>
      <x:c r="F605" s="15" t="str"/>
      <x:c r="G605" s="16" t="str">
        <x:v>http://processmacro.org/</x:v>
      </x:c>
      <x:c r="H605" s="14" t="str">
        <x:v>D05；D06；D07</x:v>
      </x:c>
      <x:c r="I605" s="14" t="str">
        <x:v>方法/软件项目</x:v>
      </x:c>
      <x:c r="J605" s="18" t="str"/>
      <x:c r="K605" s="14" t="str">
        <x:v>教材 / 说明书 / 网页</x:v>
      </x:c>
      <x:c r="L605" s="14" t="str">
        <x:v>选读</x:v>
      </x:c>
      <x:c r="M605" s="14" t="str">
        <x:v>以网页课程、在线章节或项目文档形式提供。</x:v>
      </x:c>
      <x:c r="N605" s="14" t="str">
        <x:v>打开官方入口，使用站点提供的下载功能；网页教程可继续在线使用。</x:v>
      </x:c>
      <x:c r="O605" s="14" t="str">
        <x:v>本条目的方法说明、参数、示例或诊断入口。</x:v>
      </x:c>
      <x:c r="P605" s="14" t="str"/>
      <x:c r="Q605" s="14" t="str"/>
      <x:c r="R605" s="17"/>
      <x:c r="S605" s="14" t="str"/>
      <x:c r="T605" s="14" t="str"/>
      <x:c r="U605" s="19" t="n">
        <x:v>46303</x:v>
      </x:c>
    </x:row>
    <x:row r="606" ht="68" customHeight="1">
      <x:c r="A606" s="14" t="str">
        <x:v>D-D043E224</x:v>
      </x:c>
      <x:c r="B606" s="14" t="str">
        <x:v>在线阅读</x:v>
      </x:c>
      <x:c r="C606" s="14" t="str">
        <x:v>mediation 包 CRAN</x:v>
      </x:c>
      <x:c r="D606" s="14" t="str">
        <x:v>英文</x:v>
      </x:c>
      <x:c r="E606" s="15" t="str">
        <x:v>未处理</x:v>
      </x:c>
      <x:c r="F606" s="15" t="str"/>
      <x:c r="G606" s="16" t="str">
        <x:v>https://cran.r-project.org/package=mediation</x:v>
      </x:c>
      <x:c r="H606" s="14" t="str">
        <x:v>D05；G10</x:v>
      </x:c>
      <x:c r="I606" s="14" t="str">
        <x:v>方法/软件项目</x:v>
      </x:c>
      <x:c r="J606" s="18" t="str"/>
      <x:c r="K606" s="14" t="str">
        <x:v>教材 / 说明书 / 网页</x:v>
      </x:c>
      <x:c r="L606" s="14" t="str">
        <x:v>选读</x:v>
      </x:c>
      <x:c r="M606" s="14" t="str">
        <x:v>以网页课程、在线章节或项目文档形式提供。</x:v>
      </x:c>
      <x:c r="N606" s="14" t="str">
        <x:v>打开官方入口，使用站点提供的下载功能；网页教程可继续在线使用。</x:v>
      </x:c>
      <x:c r="O606" s="14" t="str">
        <x:v>本条目的方法说明、参数、示例或诊断入口。</x:v>
      </x:c>
      <x:c r="P606" s="14" t="str"/>
      <x:c r="Q606" s="14" t="str"/>
      <x:c r="R606" s="17"/>
      <x:c r="S606" s="14" t="str"/>
      <x:c r="T606" s="14" t="str"/>
      <x:c r="U606" s="19" t="n">
        <x:v>46303</x:v>
      </x:c>
    </x:row>
    <x:row r="607" ht="68" customHeight="1">
      <x:c r="A607" s="14" t="str">
        <x:v>D-7D57D918</x:v>
      </x:c>
      <x:c r="B607" s="14" t="str">
        <x:v>在线阅读</x:v>
      </x:c>
      <x:c r="C607" s="14" t="str">
        <x:v>在线交互效应可视化工具</x:v>
      </x:c>
      <x:c r="D607" s="14" t="str">
        <x:v>英文</x:v>
      </x:c>
      <x:c r="E607" s="15" t="str">
        <x:v>未处理</x:v>
      </x:c>
      <x:c r="F607" s="15" t="str"/>
      <x:c r="G607" s="16" t="str">
        <x:v>https://interactions.jacob-long.com/articles/interactions.html</x:v>
      </x:c>
      <x:c r="H607" s="14" t="str">
        <x:v>D06</x:v>
      </x:c>
      <x:c r="I607" s="14" t="str">
        <x:v>方法/软件项目</x:v>
      </x:c>
      <x:c r="J607" s="18" t="str"/>
      <x:c r="K607" s="14" t="str">
        <x:v>教材 / 说明书 / 网页</x:v>
      </x:c>
      <x:c r="L607" s="14" t="str">
        <x:v>选读</x:v>
      </x:c>
      <x:c r="M607" s="14" t="str">
        <x:v>以网页课程、在线章节或项目文档形式提供。</x:v>
      </x:c>
      <x:c r="N607" s="14" t="str">
        <x:v>打开官方入口，使用站点提供的下载功能；网页教程可继续在线使用。</x:v>
      </x:c>
      <x:c r="O607" s="14" t="str">
        <x:v>本条目的方法说明、参数、示例或诊断入口。</x:v>
      </x:c>
      <x:c r="P607" s="14" t="str"/>
      <x:c r="Q607" s="14" t="str"/>
      <x:c r="R607" s="17"/>
      <x:c r="S607" s="14" t="str"/>
      <x:c r="T607" s="14" t="str"/>
      <x:c r="U607" s="19" t="n">
        <x:v>46303</x:v>
      </x:c>
    </x:row>
    <x:row r="608" ht="68" customHeight="1">
      <x:c r="A608" s="14" t="str">
        <x:v>D-7C61C93F</x:v>
      </x:c>
      <x:c r="B608" s="14" t="str">
        <x:v>在线阅读</x:v>
      </x:c>
      <x:c r="C608" s="14" t="str">
        <x:v>interactions 包（简单斜率 + J-N + 画图）</x:v>
      </x:c>
      <x:c r="D608" s="14" t="str">
        <x:v>英文</x:v>
      </x:c>
      <x:c r="E608" s="15" t="str">
        <x:v>未处理</x:v>
      </x:c>
      <x:c r="F608" s="15" t="str"/>
      <x:c r="G608" s="16" t="str">
        <x:v>https://interactions.jacob-long.com/</x:v>
      </x:c>
      <x:c r="H608" s="14" t="str">
        <x:v>D06；D07；E04</x:v>
      </x:c>
      <x:c r="I608" s="14" t="str">
        <x:v>方法/软件项目</x:v>
      </x:c>
      <x:c r="J608" s="18" t="str"/>
      <x:c r="K608" s="14" t="str">
        <x:v>教材 / 说明书 / 网页</x:v>
      </x:c>
      <x:c r="L608" s="14" t="str">
        <x:v>选读</x:v>
      </x:c>
      <x:c r="M608" s="14" t="str">
        <x:v>以网页课程、在线章节或项目文档形式提供。</x:v>
      </x:c>
      <x:c r="N608" s="14" t="str">
        <x:v>打开官方入口，使用站点提供的下载功能；网页教程可继续在线使用。</x:v>
      </x:c>
      <x:c r="O608" s="14" t="str">
        <x:v>本条目的方法说明、参数、示例或诊断入口。</x:v>
      </x:c>
      <x:c r="P608" s="14" t="str"/>
      <x:c r="Q608" s="14" t="str"/>
      <x:c r="R608" s="17"/>
      <x:c r="S608" s="14" t="str"/>
      <x:c r="T608" s="14" t="str"/>
      <x:c r="U608" s="19" t="n">
        <x:v>46303</x:v>
      </x:c>
    </x:row>
    <x:row r="609" ht="68" customHeight="1">
      <x:c r="A609" s="14" t="str">
        <x:v>D-DAA2E030</x:v>
      </x:c>
      <x:c r="B609" s="14" t="str">
        <x:v>在线阅读</x:v>
      </x:c>
      <x:c r="C609" s="14" t="str">
        <x:v>An Introduction to Statistical Learning 官方免费课程资料课</x:v>
      </x:c>
      <x:c r="D609" s="14" t="str">
        <x:v>英文</x:v>
      </x:c>
      <x:c r="E609" s="15" t="str">
        <x:v>未处理</x:v>
      </x:c>
      <x:c r="F609" s="15" t="str"/>
      <x:c r="G609" s="16" t="str">
        <x:v>https://www.statlearning.com/online-courses</x:v>
      </x:c>
      <x:c r="H609" s="14" t="str">
        <x:v>D08</x:v>
      </x:c>
      <x:c r="I609" s="14" t="str">
        <x:v>Trevor Hastie、Rob Tibshirani 等（斯坦福）</x:v>
      </x:c>
      <x:c r="J609" s="18" t="str"/>
      <x:c r="K609" s="14" t="str">
        <x:v>教材 / 说明书 / 网页</x:v>
      </x:c>
      <x:c r="L609" s="14" t="str">
        <x:v>选读</x:v>
      </x:c>
      <x:c r="M609" s="14" t="str">
        <x:v>以网页课程、在线章节或项目文档形式提供。</x:v>
      </x:c>
      <x:c r="N609" s="14" t="str">
        <x:v>打开官方入口，使用站点提供的下载功能；网页教程可继续在线使用。</x:v>
      </x:c>
      <x:c r="O609" s="14" t="str">
        <x:v>Lasso 与岭回归的提出者本人讲课，第 6 章正则化那几讲把「为什么 L1 会产生稀疏解」的几何直觉讲得最清楚；书的 PDF 与视频都免费</x:v>
      </x:c>
      <x:c r="P609" s="14" t="str"/>
      <x:c r="Q609" s="14" t="str"/>
      <x:c r="R609" s="17"/>
      <x:c r="S609" s="14" t="str"/>
      <x:c r="T609" s="14" t="str"/>
      <x:c r="U609" s="19" t="n">
        <x:v>46303</x:v>
      </x:c>
    </x:row>
    <x:row r="610" ht="68" customHeight="1">
      <x:c r="A610" s="14" t="str">
        <x:v>D-41F49899</x:v>
      </x:c>
      <x:c r="B610" s="14" t="str">
        <x:v>在线阅读</x:v>
      </x:c>
      <x:c r="C610" s="14" t="str">
        <x:v>glmnet 官方入门 vignette（可跑代码）</x:v>
      </x:c>
      <x:c r="D610" s="14" t="str">
        <x:v>英文</x:v>
      </x:c>
      <x:c r="E610" s="15" t="str">
        <x:v>未处理</x:v>
      </x:c>
      <x:c r="F610" s="15" t="str"/>
      <x:c r="G610" s="16" t="str">
        <x:v>https://glmnet.stanford.edu/articles/glmnet.html</x:v>
      </x:c>
      <x:c r="H610" s="14" t="str">
        <x:v>D08</x:v>
      </x:c>
      <x:c r="I610" s="14" t="str">
        <x:v>Trevor Hastie &amp; Junyang Qian（斯坦福）</x:v>
      </x:c>
      <x:c r="J610" s="18" t="str"/>
      <x:c r="K610" s="14" t="str">
        <x:v>教材 / 说明书 / 网页</x:v>
      </x:c>
      <x:c r="L610" s="14" t="str">
        <x:v>选读</x:v>
      </x:c>
      <x:c r="M610" s="14" t="str">
        <x:v>以网页课程、在线章节或项目文档形式提供。</x:v>
      </x:c>
      <x:c r="N610" s="14" t="str">
        <x:v>打开官方入口，使用站点提供的下载功能；网页教程可继续在线使用。</x:v>
      </x:c>
      <x:c r="O610" s="14" t="str">
        <x:v>从交叉验证选 λ 到系数路径图的完整流程，是 R 里做正则化的事实标准参考</x:v>
      </x:c>
      <x:c r="P610" s="14" t="str"/>
      <x:c r="Q610" s="14" t="str"/>
      <x:c r="R610" s="17"/>
      <x:c r="S610" s="14" t="str"/>
      <x:c r="T610" s="14" t="str"/>
      <x:c r="U610" s="19" t="n">
        <x:v>46303</x:v>
      </x:c>
    </x:row>
    <x:row r="611" ht="68" customHeight="1">
      <x:c r="A611" s="14" t="str">
        <x:v>D-25EAAC55</x:v>
      </x:c>
      <x:c r="B611" s="14" t="str">
        <x:v>在线阅读</x:v>
      </x:c>
      <x:c r="C611" s="14" t="str">
        <x:v>glmnet 官方文档</x:v>
      </x:c>
      <x:c r="D611" s="14" t="str">
        <x:v>英文</x:v>
      </x:c>
      <x:c r="E611" s="15" t="str">
        <x:v>未处理</x:v>
      </x:c>
      <x:c r="F611" s="15" t="str"/>
      <x:c r="G611" s="16" t="str">
        <x:v>https://glmnet.stanford.edu/</x:v>
      </x:c>
      <x:c r="H611" s="14" t="str">
        <x:v>D08</x:v>
      </x:c>
      <x:c r="I611" s="14" t="str">
        <x:v>方法/软件项目</x:v>
      </x:c>
      <x:c r="J611" s="18" t="str"/>
      <x:c r="K611" s="14" t="str">
        <x:v>教材 / 说明书 / 网页</x:v>
      </x:c>
      <x:c r="L611" s="14" t="str">
        <x:v>选读</x:v>
      </x:c>
      <x:c r="M611" s="14" t="str">
        <x:v>以网页课程、在线章节或项目文档形式提供。</x:v>
      </x:c>
      <x:c r="N611" s="14" t="str">
        <x:v>打开官方入口，使用站点提供的下载功能；网页教程可继续在线使用。</x:v>
      </x:c>
      <x:c r="O611" s="14" t="str">
        <x:v>本条目的方法说明、参数、示例或诊断入口。</x:v>
      </x:c>
      <x:c r="P611" s="14" t="str"/>
      <x:c r="Q611" s="14" t="str"/>
      <x:c r="R611" s="17"/>
      <x:c r="S611" s="14" t="str"/>
      <x:c r="T611" s="14" t="str"/>
      <x:c r="U611" s="19" t="n">
        <x:v>46303</x:v>
      </x:c>
    </x:row>
    <x:row r="612" ht="68" customHeight="1">
      <x:c r="A612" s="14" t="str">
        <x:v>D-4B95B2E7</x:v>
      </x:c>
      <x:c r="B612" s="14" t="str">
        <x:v>在线阅读</x:v>
      </x:c>
      <x:c r="C612" s="14" t="str">
        <x:v>R语言教程 · 42 正则化与惩罚回归</x:v>
      </x:c>
      <x:c r="D612" s="14" t="str">
        <x:v>中文</x:v>
      </x:c>
      <x:c r="E612" s="15" t="str">
        <x:v>未处理</x:v>
      </x:c>
      <x:c r="F612" s="15" t="str"/>
      <x:c r="G612" s="16" t="str">
        <x:v>https://math.pku.edu.cn/teachers/lidf/docs/Rbook/html/_Rbook/stat-learn-lasso.html</x:v>
      </x:c>
      <x:c r="H612" s="14" t="str">
        <x:v>D08</x:v>
      </x:c>
      <x:c r="I612" s="14" t="str">
        <x:v>李东风 · 北京大学</x:v>
      </x:c>
      <x:c r="J612" s="18" t="str"/>
      <x:c r="K612" s="14" t="str">
        <x:v>教材 / 说明书 / 网页</x:v>
      </x:c>
      <x:c r="L612" s="14" t="str">
        <x:v>选读</x:v>
      </x:c>
      <x:c r="M612" s="14" t="str">
        <x:v>以网页课程、在线章节或项目文档形式提供。</x:v>
      </x:c>
      <x:c r="N612" s="14" t="str">
        <x:v>打开官方入口，使用站点提供的下载功能；网页教程可继续在线使用。</x:v>
      </x:c>
      <x:c r="O612" s="14" t="str">
        <x:v>作者课程讲义，含 R 示例与章节练习。</x:v>
      </x:c>
      <x:c r="P612" s="14" t="str"/>
      <x:c r="Q612" s="14" t="str"/>
      <x:c r="R612" s="17"/>
      <x:c r="S612" s="14" t="str"/>
      <x:c r="T612" s="14" t="str"/>
      <x:c r="U612" s="19" t="n">
        <x:v>46303</x:v>
      </x:c>
    </x:row>
    <x:row r="613" ht="68" customHeight="1">
      <x:c r="A613" s="14" t="str">
        <x:v>D-D7CAEA74</x:v>
      </x:c>
      <x:c r="B613" s="14" t="str">
        <x:v>在线阅读</x:v>
      </x:c>
      <x:c r="C613" s="14" t="str">
        <x:v>动手学深度学习 · 权重衰减</x:v>
      </x:c>
      <x:c r="D613" s="14" t="str">
        <x:v>中文</x:v>
      </x:c>
      <x:c r="E613" s="15" t="str">
        <x:v>未处理</x:v>
      </x:c>
      <x:c r="F613" s="15" t="str"/>
      <x:c r="G613" s="16" t="str">
        <x:v>https://zh-v2.d2l.ai/chapter_multilayer-perceptrons/weight-decay.html</x:v>
      </x:c>
      <x:c r="H613" s="14" t="str">
        <x:v>D08；E10</x:v>
      </x:c>
      <x:c r="I613" s="14" t="str">
        <x:v>张阿斯顿、李沐等</x:v>
      </x:c>
      <x:c r="J613" s="18" t="str"/>
      <x:c r="K613" s="14" t="str">
        <x:v>教材 / 说明书 / 网页</x:v>
      </x:c>
      <x:c r="L613" s="14" t="str">
        <x:v>选读</x:v>
      </x:c>
      <x:c r="M613" s="14" t="str">
        <x:v>以网页课程、在线章节或项目文档形式提供。</x:v>
      </x:c>
      <x:c r="N613" s="14" t="str">
        <x:v>打开官方入口，使用站点提供的下载功能；网页教程可继续在线使用。</x:v>
      </x:c>
      <x:c r="O613" s="14" t="str">
        <x:v>作者开放教材章节，含代码和练习。</x:v>
      </x:c>
      <x:c r="P613" s="14" t="str"/>
      <x:c r="Q613" s="14" t="str"/>
      <x:c r="R613" s="17"/>
      <x:c r="S613" s="14" t="str"/>
      <x:c r="T613" s="14" t="str"/>
      <x:c r="U613" s="19" t="n">
        <x:v>46303</x:v>
      </x:c>
    </x:row>
    <x:row r="614" ht="68" customHeight="1">
      <x:c r="A614" s="14" t="str">
        <x:v>D-03451308</x:v>
      </x:c>
      <x:c r="B614" s="14" t="str">
        <x:v>在线阅读</x:v>
      </x:c>
      <x:c r="C614" s="14" t="str">
        <x:v>An Introduction to Statistical Learning · 作者资源</x:v>
      </x:c>
      <x:c r="D614" s="14" t="str">
        <x:v>英文</x:v>
      </x:c>
      <x:c r="E614" s="15" t="str">
        <x:v>未处理</x:v>
      </x:c>
      <x:c r="F614" s="15" t="str"/>
      <x:c r="G614" s="16" t="str">
        <x:v>https://www.statlearning.com/</x:v>
      </x:c>
      <x:c r="H614" s="14" t="str">
        <x:v>D08；J01；J02；J03；J04；J05；J06；J07；J08；J09；J10；J11；J12</x:v>
      </x:c>
      <x:c r="I614" s="14" t="str">
        <x:v>James; Witten; Hastie; Tibshirani; Taylor</x:v>
      </x:c>
      <x:c r="J614" s="18" t="str"/>
      <x:c r="K614" s="14" t="str">
        <x:v>教学</x:v>
      </x:c>
      <x:c r="L614" s="14" t="str">
        <x:v>选读</x:v>
      </x:c>
      <x:c r="M614" s="14" t="str">
        <x:v>以网页课程、在线章节或项目文档形式提供。</x:v>
      </x:c>
      <x:c r="N614" s="14" t="str">
        <x:v>打开官方入口，使用站点提供的下载功能；网页教程可继续在线使用。</x:v>
      </x:c>
      <x:c r="O614" s="14" t="str">
        <x:v>第 2、5、6、8 章：评估、交叉验证、正则化和树模型。</x:v>
      </x:c>
      <x:c r="P614" s="14" t="str"/>
      <x:c r="Q614" s="14" t="str"/>
      <x:c r="R614" s="17"/>
      <x:c r="S614" s="14" t="str"/>
      <x:c r="T614" s="14" t="str"/>
      <x:c r="U614" s="19" t="n">
        <x:v>46303</x:v>
      </x:c>
    </x:row>
    <x:row r="615" ht="68" customHeight="1">
      <x:c r="A615" s="14" t="str">
        <x:v>D-CC6282D8</x:v>
      </x:c>
      <x:c r="B615" s="14" t="str">
        <x:v>在线阅读</x:v>
      </x:c>
      <x:c r="C615" s="14" t="str">
        <x:v>动手学深度学习 · 优化算法</x:v>
      </x:c>
      <x:c r="D615" s="14" t="str">
        <x:v>中文</x:v>
      </x:c>
      <x:c r="E615" s="15" t="str">
        <x:v>未处理</x:v>
      </x:c>
      <x:c r="F615" s="15" t="str"/>
      <x:c r="G615" s="16" t="str">
        <x:v>https://zh-v2.d2l.ai/chapter_optimization/index.html</x:v>
      </x:c>
      <x:c r="H615" s="14" t="str">
        <x:v>D08；K02；M14</x:v>
      </x:c>
      <x:c r="I615" s="14" t="str">
        <x:v>张阿斯顿、李沐等</x:v>
      </x:c>
      <x:c r="J615" s="18" t="str"/>
      <x:c r="K615" s="14" t="str">
        <x:v>教材 / 说明书 / 网页</x:v>
      </x:c>
      <x:c r="L615" s="14" t="str">
        <x:v>选读</x:v>
      </x:c>
      <x:c r="M615" s="14" t="str">
        <x:v>以网页课程、在线章节或项目文档形式提供。</x:v>
      </x:c>
      <x:c r="N615" s="14" t="str">
        <x:v>打开官方入口，使用站点提供的下载功能；网页教程可继续在线使用。</x:v>
      </x:c>
      <x:c r="O615" s="14" t="str">
        <x:v>作者开放教材章节，含代码和练习。</x:v>
      </x:c>
      <x:c r="P615" s="14" t="str"/>
      <x:c r="Q615" s="14" t="str"/>
      <x:c r="R615" s="17"/>
      <x:c r="S615" s="14" t="str"/>
      <x:c r="T615" s="14" t="str"/>
      <x:c r="U615" s="19" t="n">
        <x:v>46303</x:v>
      </x:c>
    </x:row>
    <x:row r="616" ht="68" customHeight="1">
      <x:c r="A616" s="14" t="str">
        <x:v>D-CC049D5D</x:v>
      </x:c>
      <x:c r="B616" s="14" t="str">
        <x:v>在线阅读</x:v>
      </x:c>
      <x:c r="C616" s="14" t="str">
        <x:v>quantreg 包</x:v>
      </x:c>
      <x:c r="D616" s="14" t="str">
        <x:v>英文</x:v>
      </x:c>
      <x:c r="E616" s="15" t="str">
        <x:v>未处理</x:v>
      </x:c>
      <x:c r="F616" s="15" t="str"/>
      <x:c r="G616" s="16" t="str">
        <x:v>https://cran.r-project.org/package=quantreg</x:v>
      </x:c>
      <x:c r="H616" s="14" t="str">
        <x:v>D09</x:v>
      </x:c>
      <x:c r="I616" s="14" t="str">
        <x:v>方法/软件项目</x:v>
      </x:c>
      <x:c r="J616" s="18" t="str"/>
      <x:c r="K616" s="14" t="str">
        <x:v>教材 / 说明书 / 网页</x:v>
      </x:c>
      <x:c r="L616" s="14" t="str">
        <x:v>选读</x:v>
      </x:c>
      <x:c r="M616" s="14" t="str">
        <x:v>以网页课程、在线章节或项目文档形式提供。</x:v>
      </x:c>
      <x:c r="N616" s="14" t="str">
        <x:v>打开官方入口，使用站点提供的下载功能；网页教程可继续在线使用。</x:v>
      </x:c>
      <x:c r="O616" s="14" t="str">
        <x:v>本条目的方法说明、参数、示例或诊断入口。</x:v>
      </x:c>
      <x:c r="P616" s="14" t="str"/>
      <x:c r="Q616" s="14" t="str"/>
      <x:c r="R616" s="17"/>
      <x:c r="S616" s="14" t="str"/>
      <x:c r="T616" s="14" t="str"/>
      <x:c r="U616" s="19" t="n">
        <x:v>46303</x:v>
      </x:c>
    </x:row>
    <x:row r="617" ht="68" customHeight="1">
      <x:c r="A617" s="14" t="str">
        <x:v>D-7102EDA6</x:v>
      </x:c>
      <x:c r="B617" s="14" t="str">
        <x:v>在线阅读</x:v>
      </x:c>
      <x:c r="C617" s="14" t="str">
        <x:v>mgcv · gam / Generalized additive models</x:v>
      </x:c>
      <x:c r="D617" s="14" t="str">
        <x:v>英文</x:v>
      </x:c>
      <x:c r="E617" s="15" t="str">
        <x:v>未处理</x:v>
      </x:c>
      <x:c r="F617" s="15" t="str"/>
      <x:c r="G617" s="16" t="str">
        <x:v>https://stat.ethz.ch/R-manual/R-patched/library/mgcv/html/gam.html</x:v>
      </x:c>
      <x:c r="H617" s="14" t="str">
        <x:v>D11</x:v>
      </x:c>
      <x:c r="I617" s="14" t="str">
        <x:v>Simon Wood / mgcv</x:v>
      </x:c>
      <x:c r="J617" s="18" t="str"/>
      <x:c r="K617" s="14" t="str">
        <x:v>教学</x:v>
      </x:c>
      <x:c r="L617" s="14" t="str">
        <x:v>选读</x:v>
      </x:c>
      <x:c r="M617" s="14" t="str">
        <x:v>以网页课程、在线章节或项目文档形式提供。</x:v>
      </x:c>
      <x:c r="N617" s="14" t="str">
        <x:v>打开官方入口，使用站点提供的下载功能；网页教程可继续在线使用。</x:v>
      </x:c>
      <x:c r="O617" s="14" t="str">
        <x:v>平滑项、分布族、平滑参数与诊断的官方入口。</x:v>
      </x:c>
      <x:c r="P617" s="14" t="str"/>
      <x:c r="Q617" s="14" t="str"/>
      <x:c r="R617" s="17"/>
      <x:c r="S617" s="14" t="str"/>
      <x:c r="T617" s="14" t="str"/>
      <x:c r="U617" s="19" t="n">
        <x:v>46303</x:v>
      </x:c>
    </x:row>
    <x:row r="618" ht="68" customHeight="1">
      <x:c r="A618" s="14" t="str">
        <x:v>D-C36D9216</x:v>
      </x:c>
      <x:c r="B618" s="14" t="str">
        <x:v>在线阅读</x:v>
      </x:c>
      <x:c r="C618" s="14" t="str">
        <x:v>R语言教程 · 35 R非参数回归</x:v>
      </x:c>
      <x:c r="D618" s="14" t="str">
        <x:v>中文</x:v>
      </x:c>
      <x:c r="E618" s="15" t="str">
        <x:v>未处理</x:v>
      </x:c>
      <x:c r="F618" s="15" t="str"/>
      <x:c r="G618" s="16" t="str">
        <x:v>https://math.pku.edu.cn/teachers/lidf/docs/Rbook/html/_Rbook/stat-reg-npar.html</x:v>
      </x:c>
      <x:c r="H618" s="14" t="str">
        <x:v>D11</x:v>
      </x:c>
      <x:c r="I618" s="14" t="str">
        <x:v>李东风 · 北京大学</x:v>
      </x:c>
      <x:c r="J618" s="18" t="str"/>
      <x:c r="K618" s="14" t="str">
        <x:v>教材 / 说明书 / 网页</x:v>
      </x:c>
      <x:c r="L618" s="14" t="str">
        <x:v>选读</x:v>
      </x:c>
      <x:c r="M618" s="14" t="str">
        <x:v>以网页课程、在线章节或项目文档形式提供。</x:v>
      </x:c>
      <x:c r="N618" s="14" t="str">
        <x:v>打开官方入口，使用站点提供的下载功能；网页教程可继续在线使用。</x:v>
      </x:c>
      <x:c r="O618" s="14" t="str">
        <x:v>作者课程讲义，含 R 示例与章节练习。</x:v>
      </x:c>
      <x:c r="P618" s="14" t="str"/>
      <x:c r="Q618" s="14" t="str"/>
      <x:c r="R618" s="17"/>
      <x:c r="S618" s="14" t="str"/>
      <x:c r="T618" s="14" t="str"/>
      <x:c r="U618" s="19" t="n">
        <x:v>46303</x:v>
      </x:c>
    </x:row>
    <x:row r="619" ht="68" customHeight="1">
      <x:c r="A619" s="14" t="str">
        <x:v>D-A8F327E7</x:v>
      </x:c>
      <x:c r="B619" s="14" t="str">
        <x:v>在线阅读</x:v>
      </x:c>
      <x:c r="C619" s="14" t="str">
        <x:v>动手学深度学习 · 欠拟合和过拟合</x:v>
      </x:c>
      <x:c r="D619" s="14" t="str">
        <x:v>中文</x:v>
      </x:c>
      <x:c r="E619" s="15" t="str">
        <x:v>未处理</x:v>
      </x:c>
      <x:c r="F619" s="15" t="str"/>
      <x:c r="G619" s="16" t="str">
        <x:v>https://zh-v2.d2l.ai/chapter_multilayer-perceptrons/underfit-overfit.html</x:v>
      </x:c>
      <x:c r="H619" s="14" t="str">
        <x:v>D11；J01；J02；J03</x:v>
      </x:c>
      <x:c r="I619" s="14" t="str">
        <x:v>张阿斯顿、李沐等</x:v>
      </x:c>
      <x:c r="J619" s="18" t="str"/>
      <x:c r="K619" s="14" t="str">
        <x:v>教材 / 说明书 / 网页</x:v>
      </x:c>
      <x:c r="L619" s="14" t="str">
        <x:v>选读</x:v>
      </x:c>
      <x:c r="M619" s="14" t="str">
        <x:v>以网页课程、在线章节或项目文档形式提供。</x:v>
      </x:c>
      <x:c r="N619" s="14" t="str">
        <x:v>打开官方入口，使用站点提供的下载功能；网页教程可继续在线使用。</x:v>
      </x:c>
      <x:c r="O619" s="14" t="str">
        <x:v>作者开放教材章节，含代码和练习。</x:v>
      </x:c>
      <x:c r="P619" s="14" t="str"/>
      <x:c r="Q619" s="14" t="str"/>
      <x:c r="R619" s="17"/>
      <x:c r="S619" s="14" t="str"/>
      <x:c r="T619" s="14" t="str"/>
      <x:c r="U619" s="19" t="n">
        <x:v>46303</x:v>
      </x:c>
    </x:row>
    <x:row r="620" ht="68" customHeight="1">
      <x:c r="A620" s="14" t="str">
        <x:v>D-D8B1D7DF</x:v>
      </x:c>
      <x:c r="B620" s="14" t="str">
        <x:v>在线阅读</x:v>
      </x:c>
      <x:c r="C620" s="14" t="str">
        <x:v>semPlot（路径图绘制）</x:v>
      </x:c>
      <x:c r="D620" s="14" t="str">
        <x:v>英文</x:v>
      </x:c>
      <x:c r="E620" s="15" t="str">
        <x:v>未处理</x:v>
      </x:c>
      <x:c r="F620" s="15" t="str"/>
      <x:c r="G620" s="16" t="str">
        <x:v>https://cran.r-project.org/package=semPlot</x:v>
      </x:c>
      <x:c r="H620" s="14" t="str">
        <x:v>E01</x:v>
      </x:c>
      <x:c r="I620" s="14" t="str">
        <x:v>方法/软件项目</x:v>
      </x:c>
      <x:c r="J620" s="18" t="str"/>
      <x:c r="K620" s="14" t="str">
        <x:v>教材 / 说明书 / 网页</x:v>
      </x:c>
      <x:c r="L620" s="14" t="str">
        <x:v>选读</x:v>
      </x:c>
      <x:c r="M620" s="14" t="str">
        <x:v>以网页课程、在线章节或项目文档形式提供。</x:v>
      </x:c>
      <x:c r="N620" s="14" t="str">
        <x:v>打开官方入口，使用站点提供的下载功能；网页教程可继续在线使用。</x:v>
      </x:c>
      <x:c r="O620" s="14" t="str">
        <x:v>本条目的方法说明、参数、示例或诊断入口。</x:v>
      </x:c>
      <x:c r="P620" s="14" t="str"/>
      <x:c r="Q620" s="14" t="str"/>
      <x:c r="R620" s="17"/>
      <x:c r="S620" s="14" t="str"/>
      <x:c r="T620" s="14" t="str"/>
      <x:c r="U620" s="19" t="n">
        <x:v>46303</x:v>
      </x:c>
    </x:row>
    <x:row r="621" ht="68" customHeight="1">
      <x:c r="A621" s="14" t="str">
        <x:v>D-39302D98</x:v>
      </x:c>
      <x:c r="B621" s="14" t="str">
        <x:v>在线阅读</x:v>
      </x:c>
      <x:c r="C621" s="14" t="str">
        <x:v>lavaan tutorial</x:v>
      </x:c>
      <x:c r="D621" s="14" t="str">
        <x:v>英文</x:v>
      </x:c>
      <x:c r="E621" s="15" t="str">
        <x:v>未处理</x:v>
      </x:c>
      <x:c r="F621" s="15" t="str"/>
      <x:c r="G621" s="16" t="str">
        <x:v>https://lavaan.ugent.be/tutorial/index.html</x:v>
      </x:c>
      <x:c r="H621" s="14" t="str">
        <x:v>E01；E02；E03；E04；E05；E06；E07；E08；E09；E10</x:v>
      </x:c>
      <x:c r="I621" s="14" t="str">
        <x:v>lavaan project / Ghent University</x:v>
      </x:c>
      <x:c r="J621" s="18" t="str"/>
      <x:c r="K621" s="14" t="str">
        <x:v>教材 / 说明书 / 网页</x:v>
      </x:c>
      <x:c r="L621" s="14" t="str">
        <x:v>选读</x:v>
      </x:c>
      <x:c r="M621" s="14" t="str">
        <x:v>以网页课程、在线章节或项目文档形式提供。</x:v>
      </x:c>
      <x:c r="N621" s="14" t="str">
        <x:v>打开官方入口，使用站点提供的下载功能；网页教程可继续在线使用。</x:v>
      </x:c>
      <x:c r="O621" s="14" t="str">
        <x:v>从 CFA 到 SEM、增长、多组、分类变量和中介的完整教程。</x:v>
      </x:c>
      <x:c r="P621" s="14" t="str"/>
      <x:c r="Q621" s="14" t="str"/>
      <x:c r="R621" s="17"/>
      <x:c r="S621" s="14" t="str"/>
      <x:c r="T621" s="14" t="str"/>
      <x:c r="U621" s="19" t="n">
        <x:v>46303</x:v>
      </x:c>
    </x:row>
    <x:row r="622" ht="68" customHeight="1">
      <x:c r="A622" s="14" t="str">
        <x:v>D-C051EA6D</x:v>
      </x:c>
      <x:c r="B622" s="14" t="str">
        <x:v>在线阅读</x:v>
      </x:c>
      <x:c r="C622" s="14" t="str">
        <x:v>Mplus Short Course Videos</x:v>
      </x:c>
      <x:c r="D622" s="14" t="str">
        <x:v>英文</x:v>
      </x:c>
      <x:c r="E622" s="15" t="str">
        <x:v>未处理</x:v>
      </x:c>
      <x:c r="F622" s="15" t="str"/>
      <x:c r="G622" s="16" t="str">
        <x:v>https://www.statmodel.com/courses.shtml</x:v>
      </x:c>
      <x:c r="H622" s="14" t="str">
        <x:v>E01；E02；E03；E04；E05；E06；E07；E08；E09；E10</x:v>
      </x:c>
      <x:c r="I622" s="14" t="str">
        <x:v>Mplus / Muthén &amp; Muthén</x:v>
      </x:c>
      <x:c r="J622" s="18" t="str"/>
      <x:c r="K622" s="14" t="str">
        <x:v>教材 / 说明书 / 网页</x:v>
      </x:c>
      <x:c r="L622" s="14" t="str">
        <x:v>选读</x:v>
      </x:c>
      <x:c r="M622" s="14" t="str">
        <x:v>以网页课程、在线章节或项目文档形式提供。</x:v>
      </x:c>
      <x:c r="N622" s="14" t="str">
        <x:v>打开官方入口，使用站点提供的下载功能；网页教程可继续在线使用。</x:v>
      </x:c>
      <x:c r="O622" s="14" t="str">
        <x:v>SEM、潜变量、增长和混合模型的官方课程视频与讲义。</x:v>
      </x:c>
      <x:c r="P622" s="14" t="str"/>
      <x:c r="Q622" s="14" t="str"/>
      <x:c r="R622" s="17"/>
      <x:c r="S622" s="14" t="str"/>
      <x:c r="T622" s="14" t="str"/>
      <x:c r="U622" s="19" t="n">
        <x:v>46303</x:v>
      </x:c>
    </x:row>
    <x:row r="623" ht="68" customHeight="1">
      <x:c r="A623" s="14" t="str">
        <x:v>D-1FDE54DF</x:v>
      </x:c>
      <x:c r="B623" s="14" t="str">
        <x:v>在线阅读</x:v>
      </x:c>
      <x:c r="C623" s="14" t="str">
        <x:v>lavaan 官方站</x:v>
      </x:c>
      <x:c r="D623" s="14" t="str">
        <x:v>英文</x:v>
      </x:c>
      <x:c r="E623" s="15" t="str">
        <x:v>未处理</x:v>
      </x:c>
      <x:c r="F623" s="15" t="str"/>
      <x:c r="G623" s="16" t="str">
        <x:v>https://lavaan.ugent.be/</x:v>
      </x:c>
      <x:c r="H623" s="14" t="str">
        <x:v>E01；E02；E04；E09</x:v>
      </x:c>
      <x:c r="I623" s="14" t="str">
        <x:v>lavaan.ugent.be</x:v>
      </x:c>
      <x:c r="J623" s="18" t="str"/>
      <x:c r="K623" s="14" t="str">
        <x:v>教材 / 说明书 / 网页</x:v>
      </x:c>
      <x:c r="L623" s="14" t="str">
        <x:v>选读</x:v>
      </x:c>
      <x:c r="M623" s="14" t="str">
        <x:v>以网页课程、在线章节或项目文档形式提供。</x:v>
      </x:c>
      <x:c r="N623" s="14" t="str">
        <x:v>打开官方入口，使用站点提供的下载功能；网页教程可继续在线使用。</x:v>
      </x:c>
      <x:c r="O623" s="14" t="str">
        <x:v>官方说明与使用示例。</x:v>
      </x:c>
      <x:c r="P623" s="14" t="str"/>
      <x:c r="Q623" s="14" t="str"/>
      <x:c r="R623" s="17"/>
      <x:c r="S623" s="14" t="str"/>
      <x:c r="T623" s="14" t="str"/>
      <x:c r="U623" s="19" t="n">
        <x:v>46303</x:v>
      </x:c>
    </x:row>
    <x:row r="624" ht="68" customHeight="1">
      <x:c r="A624" s="14" t="str">
        <x:v>D-128C625F</x:v>
      </x:c>
      <x:c r="B624" s="14" t="str">
        <x:v>在线阅读</x:v>
      </x:c>
      <x:c r="C624" s="14" t="str">
        <x:v>lavaan 官方 SEM 教程</x:v>
      </x:c>
      <x:c r="D624" s="14" t="str">
        <x:v>英文</x:v>
      </x:c>
      <x:c r="E624" s="15" t="str">
        <x:v>未处理</x:v>
      </x:c>
      <x:c r="F624" s="15" t="str"/>
      <x:c r="G624" s="16" t="str">
        <x:v>https://lavaan.ugent.be/tutorial/sem.html</x:v>
      </x:c>
      <x:c r="H624" s="14" t="str">
        <x:v>E02</x:v>
      </x:c>
      <x:c r="I624" s="14" t="str">
        <x:v>Yves Rosseel</x:v>
      </x:c>
      <x:c r="J624" s="18" t="str"/>
      <x:c r="K624" s="14" t="str">
        <x:v>教材 / 说明书 / 网页</x:v>
      </x:c>
      <x:c r="L624" s="14" t="str">
        <x:v>选读</x:v>
      </x:c>
      <x:c r="M624" s="14" t="str">
        <x:v>以网页课程、在线章节或项目文档形式提供。</x:v>
      </x:c>
      <x:c r="N624" s="14" t="str">
        <x:v>打开官方入口，使用站点提供的下载功能；网页教程可继续在线使用。</x:v>
      </x:c>
      <x:c r="O624" s="14" t="str">
        <x:v>语法与输出解读</x:v>
      </x:c>
      <x:c r="P624" s="14" t="str"/>
      <x:c r="Q624" s="14" t="str"/>
      <x:c r="R624" s="17"/>
      <x:c r="S624" s="14" t="str"/>
      <x:c r="T624" s="14" t="str"/>
      <x:c r="U624" s="19" t="n">
        <x:v>46303</x:v>
      </x:c>
    </x:row>
    <x:row r="625" ht="68" customHeight="1">
      <x:c r="A625" s="14" t="str">
        <x:v>D-B1712C26</x:v>
      </x:c>
      <x:c r="B625" s="14" t="str">
        <x:v>在线阅读</x:v>
      </x:c>
      <x:c r="C625" s="14" t="str">
        <x:v>Mplus 官网（大量示例语法）</x:v>
      </x:c>
      <x:c r="D625" s="14" t="str">
        <x:v>英文</x:v>
      </x:c>
      <x:c r="E625" s="15" t="str">
        <x:v>未处理</x:v>
      </x:c>
      <x:c r="F625" s="15" t="str"/>
      <x:c r="G625" s="16" t="str">
        <x:v>https://www.statmodel.com/</x:v>
      </x:c>
      <x:c r="H625" s="14" t="str">
        <x:v>E02</x:v>
      </x:c>
      <x:c r="I625" s="14" t="str">
        <x:v>方法/软件项目</x:v>
      </x:c>
      <x:c r="J625" s="18" t="str"/>
      <x:c r="K625" s="14" t="str">
        <x:v>教材 / 说明书 / 网页</x:v>
      </x:c>
      <x:c r="L625" s="14" t="str">
        <x:v>选读</x:v>
      </x:c>
      <x:c r="M625" s="14" t="str">
        <x:v>以网页课程、在线章节或项目文档形式提供。</x:v>
      </x:c>
      <x:c r="N625" s="14" t="str">
        <x:v>打开官方入口，使用站点提供的下载功能；网页教程可继续在线使用。</x:v>
      </x:c>
      <x:c r="O625" s="14" t="str">
        <x:v>本条目的方法说明、参数、示例或诊断入口。</x:v>
      </x:c>
      <x:c r="P625" s="14" t="str"/>
      <x:c r="Q625" s="14" t="str"/>
      <x:c r="R625" s="17"/>
      <x:c r="S625" s="14" t="str"/>
      <x:c r="T625" s="14" t="str"/>
      <x:c r="U625" s="19" t="n">
        <x:v>46303</x:v>
      </x:c>
    </x:row>
    <x:row r="626" ht="68" customHeight="1">
      <x:c r="A626" s="14" t="str">
        <x:v>D-40D209D7</x:v>
      </x:c>
      <x:c r="B626" s="14" t="str">
        <x:v>在线阅读</x:v>
      </x:c>
      <x:c r="C626" s="14" t="str">
        <x:v>simsem 包（SEM 蒙特卡洛功效分析）</x:v>
      </x:c>
      <x:c r="D626" s="14" t="str">
        <x:v>英文</x:v>
      </x:c>
      <x:c r="E626" s="15" t="str">
        <x:v>未处理</x:v>
      </x:c>
      <x:c r="F626" s="15" t="str"/>
      <x:c r="G626" s="16" t="str">
        <x:v>https://cran.r-project.org/package=simsem</x:v>
      </x:c>
      <x:c r="H626" s="14" t="str">
        <x:v>E02</x:v>
      </x:c>
      <x:c r="I626" s="14" t="str">
        <x:v>方法/软件项目</x:v>
      </x:c>
      <x:c r="J626" s="18" t="str"/>
      <x:c r="K626" s="14" t="str">
        <x:v>教材 / 说明书 / 网页</x:v>
      </x:c>
      <x:c r="L626" s="14" t="str">
        <x:v>选读</x:v>
      </x:c>
      <x:c r="M626" s="14" t="str">
        <x:v>以网页课程、在线章节或项目文档形式提供。</x:v>
      </x:c>
      <x:c r="N626" s="14" t="str">
        <x:v>打开官方入口，使用站点提供的下载功能；网页教程可继续在线使用。</x:v>
      </x:c>
      <x:c r="O626" s="14" t="str">
        <x:v>本条目的方法说明、参数、示例或诊断入口。</x:v>
      </x:c>
      <x:c r="P626" s="14" t="str"/>
      <x:c r="Q626" s="14" t="str"/>
      <x:c r="R626" s="17"/>
      <x:c r="S626" s="14" t="str"/>
      <x:c r="T626" s="14" t="str"/>
      <x:c r="U626" s="19" t="n">
        <x:v>46303</x:v>
      </x:c>
    </x:row>
    <x:row r="627" ht="68" customHeight="1">
      <x:c r="A627" s="14" t="str">
        <x:v>D-F3267CD4</x:v>
      </x:c>
      <x:c r="B627" s="14" t="str">
        <x:v>在线阅读</x:v>
      </x:c>
      <x:c r="C627" s="14" t="str">
        <x:v>Mplus 用户手册示例（多组与 MIMIC）</x:v>
      </x:c>
      <x:c r="D627" s="14" t="str">
        <x:v>英文</x:v>
      </x:c>
      <x:c r="E627" s="15" t="str">
        <x:v>未处理</x:v>
      </x:c>
      <x:c r="F627" s="15" t="str"/>
      <x:c r="G627" s="16" t="str">
        <x:v>https://www.statmodel.com/usersguide/chapter5.shtml</x:v>
      </x:c>
      <x:c r="H627" s="14" t="str">
        <x:v>E03；E04</x:v>
      </x:c>
      <x:c r="I627" s="14" t="str">
        <x:v>www.statmodel.com</x:v>
      </x:c>
      <x:c r="J627" s="18" t="str"/>
      <x:c r="K627" s="14" t="str">
        <x:v>教材 / 说明书 / 网页</x:v>
      </x:c>
      <x:c r="L627" s="14" t="str">
        <x:v>选读</x:v>
      </x:c>
      <x:c r="M627" s="14" t="str">
        <x:v>以网页课程、在线章节或项目文档形式提供。</x:v>
      </x:c>
      <x:c r="N627" s="14" t="str">
        <x:v>打开官方入口，使用站点提供的下载功能；网页教程可继续在线使用。</x:v>
      </x:c>
      <x:c r="O627" s="14" t="str">
        <x:v>官方说明与使用示例。</x:v>
      </x:c>
      <x:c r="P627" s="14" t="str"/>
      <x:c r="Q627" s="14" t="str"/>
      <x:c r="R627" s="17"/>
      <x:c r="S627" s="14" t="str"/>
      <x:c r="T627" s="14" t="str"/>
      <x:c r="U627" s="19" t="n">
        <x:v>46303</x:v>
      </x:c>
    </x:row>
    <x:row r="628" ht="68" customHeight="1">
      <x:c r="A628" s="14" t="str">
        <x:v>D-237F918B</x:v>
      </x:c>
      <x:c r="B628" s="14" t="str">
        <x:v>在线阅读</x:v>
      </x:c>
      <x:c r="C628" s="14" t="str">
        <x:v>modsem 包（LMS/QML/乘积指标）</x:v>
      </x:c>
      <x:c r="D628" s="14" t="str">
        <x:v>英文</x:v>
      </x:c>
      <x:c r="E628" s="15" t="str">
        <x:v>未处理</x:v>
      </x:c>
      <x:c r="F628" s="15" t="str"/>
      <x:c r="G628" s="16" t="str">
        <x:v>https://cran.r-project.org/package=modsem</x:v>
      </x:c>
      <x:c r="H628" s="14" t="str">
        <x:v>E04</x:v>
      </x:c>
      <x:c r="I628" s="14" t="str">
        <x:v>方法/软件项目</x:v>
      </x:c>
      <x:c r="J628" s="18" t="str"/>
      <x:c r="K628" s="14" t="str">
        <x:v>教材 / 说明书 / 网页</x:v>
      </x:c>
      <x:c r="L628" s="14" t="str">
        <x:v>选读</x:v>
      </x:c>
      <x:c r="M628" s="14" t="str">
        <x:v>以网页课程、在线章节或项目文档形式提供。</x:v>
      </x:c>
      <x:c r="N628" s="14" t="str">
        <x:v>打开官方入口，使用站点提供的下载功能；网页教程可继续在线使用。</x:v>
      </x:c>
      <x:c r="O628" s="14" t="str">
        <x:v>本条目的方法说明、参数、示例或诊断入口。</x:v>
      </x:c>
      <x:c r="P628" s="14" t="str"/>
      <x:c r="Q628" s="14" t="str"/>
      <x:c r="R628" s="17"/>
      <x:c r="S628" s="14" t="str"/>
      <x:c r="T628" s="14" t="str"/>
      <x:c r="U628" s="19" t="n">
        <x:v>46303</x:v>
      </x:c>
    </x:row>
    <x:row r="629" ht="68" customHeight="1">
      <x:c r="A629" s="14" t="str">
        <x:v>D-85FEC52F</x:v>
      </x:c>
      <x:c r="B629" s="14" t="str">
        <x:v>在线阅读</x:v>
      </x:c>
      <x:c r="C629" s="14" t="str">
        <x:v>Mplus 用户手册第 6 章示例（增长模型全套官方语法）</x:v>
      </x:c>
      <x:c r="D629" s="14" t="str">
        <x:v>英文</x:v>
      </x:c>
      <x:c r="E629" s="15" t="str">
        <x:v>未处理</x:v>
      </x:c>
      <x:c r="F629" s="15" t="str"/>
      <x:c r="G629" s="16" t="str">
        <x:v>https://www.statmodel.com/usersguide/chapter6.shtml</x:v>
      </x:c>
      <x:c r="H629" s="14" t="str">
        <x:v>E05</x:v>
      </x:c>
      <x:c r="I629" s="14" t="str">
        <x:v>Muthén &amp; Muthén</x:v>
      </x:c>
      <x:c r="J629" s="18" t="str"/>
      <x:c r="K629" s="14" t="str">
        <x:v>教材 / 说明书 / 网页</x:v>
      </x:c>
      <x:c r="L629" s="14" t="str">
        <x:v>选读</x:v>
      </x:c>
      <x:c r="M629" s="14" t="str">
        <x:v>以网页课程、在线章节或项目文档形式提供。</x:v>
      </x:c>
      <x:c r="N629" s="14" t="str">
        <x:v>打开官方入口，使用站点提供的下载功能；网页教程可继续在线使用。</x:v>
      </x:c>
      <x:c r="O629" s="14" t="str">
        <x:v>从简单线性增长到平行过程、到带远端结果的模型，官方语法可逐个下载对照</x:v>
      </x:c>
      <x:c r="P629" s="14" t="str"/>
      <x:c r="Q629" s="14" t="str"/>
      <x:c r="R629" s="17"/>
      <x:c r="S629" s="14" t="str"/>
      <x:c r="T629" s="14" t="str"/>
      <x:c r="U629" s="19" t="n">
        <x:v>46303</x:v>
      </x:c>
    </x:row>
    <x:row r="630" ht="68" customHeight="1">
      <x:c r="A630" s="14" t="str">
        <x:v>D-E0C0B375</x:v>
      </x:c>
      <x:c r="B630" s="14" t="str">
        <x:v>在线阅读</x:v>
      </x:c>
      <x:c r="C630" s="14" t="str">
        <x:v>国内追踪数据分析方法研究与模型发展</x:v>
      </x:c>
      <x:c r="D630" s="14" t="str">
        <x:v>中文</x:v>
      </x:c>
      <x:c r="E630" s="15" t="str">
        <x:v>未处理</x:v>
      </x:c>
      <x:c r="F630" s="15" t="str"/>
      <x:c r="G630" s="16" t="str">
        <x:v>https://journal.psych.ac.cn/xlkxjz/CN/abstract/abstract6331.shtml</x:v>
      </x:c>
      <x:c r="H630" s="14" t="str">
        <x:v>E05；E07；E08；H01；H02；H05；H06；H07；H08；H09；H10；H11；H12</x:v>
      </x:c>
      <x:c r="I630" s="14" t="str">
        <x:v>刘源、都弘彦、方杰、温忠麟 · 心理科学进展</x:v>
      </x:c>
      <x:c r="J630" s="18" t="str"/>
      <x:c r="K630" s="14" t="str">
        <x:v>教材 / 说明书 / 网页</x:v>
      </x:c>
      <x:c r="L630" s="14" t="str">
        <x:v>选读</x:v>
      </x:c>
      <x:c r="M630" s="14" t="str">
        <x:v>以网页课程、在线章节或项目文档形式提供。</x:v>
      </x:c>
      <x:c r="N630" s="14" t="str">
        <x:v>打开官方入口，使用站点提供的下载功能；网页教程可继续在线使用。</x:v>
      </x:c>
      <x:c r="O630" s="14" t="str">
        <x:v>追踪研究方法综述；页面提供期刊 PDF 入口。</x:v>
      </x:c>
      <x:c r="P630" s="14" t="str"/>
      <x:c r="Q630" s="14" t="str"/>
      <x:c r="R630" s="17"/>
      <x:c r="S630" s="14" t="str"/>
      <x:c r="T630" s="14" t="str"/>
      <x:c r="U630" s="19" t="n">
        <x:v>46303</x:v>
      </x:c>
    </x:row>
    <x:row r="631" ht="68" customHeight="1">
      <x:c r="A631" s="14" t="str">
        <x:v>D-C86C8713</x:v>
      </x:c>
      <x:c r="B631" s="14" t="str">
        <x:v>在线阅读</x:v>
      </x:c>
      <x:c r="C631" s="14" t="str">
        <x:v>lavaan 官方教程（潜增长模型）</x:v>
      </x:c>
      <x:c r="D631" s="14" t="str">
        <x:v>英文</x:v>
      </x:c>
      <x:c r="E631" s="15" t="str">
        <x:v>未处理</x:v>
      </x:c>
      <x:c r="F631" s="15" t="str"/>
      <x:c r="G631" s="16" t="str">
        <x:v>https://lavaan.ugent.be/tutorial/growth.html</x:v>
      </x:c>
      <x:c r="H631" s="14" t="str">
        <x:v>E05；H01；H02；H03；H04；H05；H06；H07；H08；H09</x:v>
      </x:c>
      <x:c r="I631" s="14" t="str">
        <x:v>方法/软件项目</x:v>
      </x:c>
      <x:c r="J631" s="18" t="str"/>
      <x:c r="K631" s="14" t="str">
        <x:v>教材 / 说明书 / 网页</x:v>
      </x:c>
      <x:c r="L631" s="14" t="str">
        <x:v>选读</x:v>
      </x:c>
      <x:c r="M631" s="14" t="str">
        <x:v>以网页课程、在线章节或项目文档形式提供。</x:v>
      </x:c>
      <x:c r="N631" s="14" t="str">
        <x:v>打开官方入口，使用站点提供的下载功能；网页教程可继续在线使用。</x:v>
      </x:c>
      <x:c r="O631" s="14" t="str">
        <x:v>本条目的方法说明、参数、示例或诊断入口。</x:v>
      </x:c>
      <x:c r="P631" s="14" t="str"/>
      <x:c r="Q631" s="14" t="str"/>
      <x:c r="R631" s="17"/>
      <x:c r="S631" s="14" t="str"/>
      <x:c r="T631" s="14" t="str"/>
      <x:c r="U631" s="19" t="n">
        <x:v>46303</x:v>
      </x:c>
    </x:row>
    <x:row r="632" ht="68" customHeight="1">
      <x:c r="A632" s="14" t="str">
        <x:v>D-FDB3041B</x:v>
      </x:c>
      <x:c r="B632" s="14" t="str">
        <x:v>在线阅读</x:v>
      </x:c>
      <x:c r="C632" s="14" t="str">
        <x:v>lcmm 包</x:v>
      </x:c>
      <x:c r="D632" s="14" t="str">
        <x:v>英文</x:v>
      </x:c>
      <x:c r="E632" s="15" t="str">
        <x:v>未处理</x:v>
      </x:c>
      <x:c r="F632" s="15" t="str"/>
      <x:c r="G632" s="16" t="str">
        <x:v>https://cecileproust-lima.github.io/lcmm/</x:v>
      </x:c>
      <x:c r="H632" s="14" t="str">
        <x:v>E06</x:v>
      </x:c>
      <x:c r="I632" s="14" t="str">
        <x:v>方法/软件项目</x:v>
      </x:c>
      <x:c r="J632" s="18" t="str"/>
      <x:c r="K632" s="14" t="str">
        <x:v>教材 / 说明书 / 网页</x:v>
      </x:c>
      <x:c r="L632" s="14" t="str">
        <x:v>选读</x:v>
      </x:c>
      <x:c r="M632" s="14" t="str">
        <x:v>以网页课程、在线章节或项目文档形式提供。</x:v>
      </x:c>
      <x:c r="N632" s="14" t="str">
        <x:v>打开官方入口，使用站点提供的下载功能；网页教程可继续在线使用。</x:v>
      </x:c>
      <x:c r="O632" s="14" t="str">
        <x:v>本条目的方法说明、参数、示例或诊断入口。</x:v>
      </x:c>
      <x:c r="P632" s="14" t="str"/>
      <x:c r="Q632" s="14" t="str"/>
      <x:c r="R632" s="17"/>
      <x:c r="S632" s="14" t="str"/>
      <x:c r="T632" s="14" t="str"/>
      <x:c r="U632" s="19" t="n">
        <x:v>46303</x:v>
      </x:c>
    </x:row>
    <x:row r="633" ht="68" customHeight="1">
      <x:c r="A633" s="14" t="str">
        <x:v>D-BD6BAC19</x:v>
      </x:c>
      <x:c r="B633" s="14" t="str">
        <x:v>在线阅读</x:v>
      </x:c>
      <x:c r="C633" s="14" t="str">
        <x:v>lcmm 官方 vignette（R 里做潜类别增长与混合模型的完整流程）</x:v>
      </x:c>
      <x:c r="D633" s="14" t="str">
        <x:v>英文</x:v>
      </x:c>
      <x:c r="E633" s="15" t="str">
        <x:v>未处理</x:v>
      </x:c>
      <x:c r="F633" s="15" t="str"/>
      <x:c r="G633" s="16" t="str">
        <x:v>https://cecileproust-lima.github.io/lcmm/articles/lcmm.html</x:v>
      </x:c>
      <x:c r="H633" s="14" t="str">
        <x:v>E06</x:v>
      </x:c>
      <x:c r="I633" s="14" t="str">
        <x:v>Cécile Proust-Lima 等（波尔多大学）</x:v>
      </x:c>
      <x:c r="J633" s="18" t="str"/>
      <x:c r="K633" s="14" t="str">
        <x:v>教材 / 说明书 / 网页</x:v>
      </x:c>
      <x:c r="L633" s="14" t="str">
        <x:v>选读</x:v>
      </x:c>
      <x:c r="M633" s="14" t="str">
        <x:v>以网页课程、在线章节或项目文档形式提供。</x:v>
      </x:c>
      <x:c r="N633" s="14" t="str">
        <x:v>打开官方入口，使用站点提供的下载功能；网页教程可继续在线使用。</x:v>
      </x:c>
      <x:c r="O633" s="14" t="str">
        <x:v>免费替代 Mplus 的主要选择，vignette 演示了类数选择、多起始值、后验分类与三步法关联协变量</x:v>
      </x:c>
      <x:c r="P633" s="14" t="str"/>
      <x:c r="Q633" s="14" t="str"/>
      <x:c r="R633" s="17"/>
      <x:c r="S633" s="14" t="str"/>
      <x:c r="T633" s="14" t="str"/>
      <x:c r="U633" s="19" t="n">
        <x:v>46303</x:v>
      </x:c>
    </x:row>
    <x:row r="634" ht="68" customHeight="1">
      <x:c r="A634" s="14" t="str">
        <x:v>D-C35C5BF9</x:v>
      </x:c>
      <x:c r="B634" s="14" t="str">
        <x:v>在线阅读</x:v>
      </x:c>
      <x:c r="C634" s="14" t="str">
        <x:v>Mplus 用户手册示例 · 第 8 章（混合模型与增长混合）</x:v>
      </x:c>
      <x:c r="D634" s="14" t="str">
        <x:v>英文</x:v>
      </x:c>
      <x:c r="E634" s="15" t="str">
        <x:v>未处理</x:v>
      </x:c>
      <x:c r="F634" s="15" t="str"/>
      <x:c r="G634" s="16" t="str">
        <x:v>https://www.statmodel.com/usersguide/chapter8.shtml</x:v>
      </x:c>
      <x:c r="H634" s="14" t="str">
        <x:v>E06</x:v>
      </x:c>
      <x:c r="I634" s="14" t="str">
        <x:v>www.statmodel.com</x:v>
      </x:c>
      <x:c r="J634" s="18" t="str"/>
      <x:c r="K634" s="14" t="str">
        <x:v>教材 / 说明书 / 网页</x:v>
      </x:c>
      <x:c r="L634" s="14" t="str">
        <x:v>选读</x:v>
      </x:c>
      <x:c r="M634" s="14" t="str">
        <x:v>以网页课程、在线章节或项目文档形式提供。</x:v>
      </x:c>
      <x:c r="N634" s="14" t="str">
        <x:v>打开官方入口，使用站点提供的下载功能；网页教程可继续在线使用。</x:v>
      </x:c>
      <x:c r="O634" s="14" t="str">
        <x:v>官方说明与使用示例。</x:v>
      </x:c>
      <x:c r="P634" s="14" t="str"/>
      <x:c r="Q634" s="14" t="str"/>
      <x:c r="R634" s="17"/>
      <x:c r="S634" s="14" t="str"/>
      <x:c r="T634" s="14" t="str"/>
      <x:c r="U634" s="19" t="n">
        <x:v>46303</x:v>
      </x:c>
    </x:row>
    <x:row r="635" ht="68" customHeight="1">
      <x:c r="A635" s="14" t="str">
        <x:v>D-88C861C8</x:v>
      </x:c>
      <x:c r="B635" s="14" t="str">
        <x:v>在线阅读</x:v>
      </x:c>
      <x:c r="C635" s="14" t="str">
        <x:v>RI-CLPM 官方教程站</x:v>
      </x:c>
      <x:c r="D635" s="14" t="str">
        <x:v>英文</x:v>
      </x:c>
      <x:c r="E635" s="15" t="str">
        <x:v>未处理</x:v>
      </x:c>
      <x:c r="F635" s="15" t="str"/>
      <x:c r="G635" s="16" t="str">
        <x:v>https://jeroendmulder.github.io/RI-CLPM/</x:v>
      </x:c>
      <x:c r="H635" s="14" t="str">
        <x:v>E07；E08</x:v>
      </x:c>
      <x:c r="I635" s="14" t="str">
        <x:v>方法/软件项目</x:v>
      </x:c>
      <x:c r="J635" s="18" t="str"/>
      <x:c r="K635" s="14" t="str">
        <x:v>教材 / 说明书 / 网页</x:v>
      </x:c>
      <x:c r="L635" s="14" t="str">
        <x:v>选读</x:v>
      </x:c>
      <x:c r="M635" s="14" t="str">
        <x:v>以网页课程、在线章节或项目文档形式提供。</x:v>
      </x:c>
      <x:c r="N635" s="14" t="str">
        <x:v>打开官方入口，使用站点提供的下载功能；网页教程可继续在线使用。</x:v>
      </x:c>
      <x:c r="O635" s="14" t="str">
        <x:v>本条目的方法说明、参数、示例或诊断入口。</x:v>
      </x:c>
      <x:c r="P635" s="14" t="str"/>
      <x:c r="Q635" s="14" t="str"/>
      <x:c r="R635" s="17"/>
      <x:c r="S635" s="14" t="str"/>
      <x:c r="T635" s="14" t="str"/>
      <x:c r="U635" s="19" t="n">
        <x:v>46303</x:v>
      </x:c>
    </x:row>
    <x:row r="636" ht="68" customHeight="1">
      <x:c r="A636" s="14" t="str">
        <x:v>D-F734C70B</x:v>
      </x:c>
      <x:c r="B636" s="14" t="str">
        <x:v>在线阅读</x:v>
      </x:c>
      <x:c r="C636" s="14" t="str">
        <x:v>RI-CLPM GitHub 补充材料</x:v>
      </x:c>
      <x:c r="D636" s="14" t="str">
        <x:v>英文</x:v>
      </x:c>
      <x:c r="E636" s="15" t="str">
        <x:v>未处理</x:v>
      </x:c>
      <x:c r="F636" s="15" t="str"/>
      <x:c r="G636" s="16" t="str">
        <x:v>https://github.com/JeroenDMulder/RI-CLPM</x:v>
      </x:c>
      <x:c r="H636" s="14" t="str">
        <x:v>E08</x:v>
      </x:c>
      <x:c r="I636" s="14" t="str">
        <x:v>方法/软件项目</x:v>
      </x:c>
      <x:c r="J636" s="18" t="str"/>
      <x:c r="K636" s="14" t="str">
        <x:v>教材 / 说明书 / 网页</x:v>
      </x:c>
      <x:c r="L636" s="14" t="str">
        <x:v>选读</x:v>
      </x:c>
      <x:c r="M636" s="14" t="str">
        <x:v>以网页课程、在线章节或项目文档形式提供。</x:v>
      </x:c>
      <x:c r="N636" s="14" t="str">
        <x:v>打开官方入口，使用站点提供的下载功能；网页教程可继续在线使用。</x:v>
      </x:c>
      <x:c r="O636" s="14" t="str">
        <x:v>本条目的方法说明、参数、示例或诊断入口。</x:v>
      </x:c>
      <x:c r="P636" s="14" t="str"/>
      <x:c r="Q636" s="14" t="str"/>
      <x:c r="R636" s="17"/>
      <x:c r="S636" s="14" t="str"/>
      <x:c r="T636" s="14" t="str"/>
      <x:c r="U636" s="19" t="n">
        <x:v>46303</x:v>
      </x:c>
    </x:row>
    <x:row r="637" ht="68" customHeight="1">
      <x:c r="A637" s="14" t="str">
        <x:v>D-958EF35E</x:v>
      </x:c>
      <x:c r="B637" s="14" t="str">
        <x:v>在线阅读</x:v>
      </x:c>
      <x:c r="C637" s="14" t="str">
        <x:v>seminr 官方 vignette（完整 PLS-SEM 流程的可跑代码）</x:v>
      </x:c>
      <x:c r="D637" s="14" t="str">
        <x:v>英文</x:v>
      </x:c>
      <x:c r="E637" s="15" t="str">
        <x:v>未处理</x:v>
      </x:c>
      <x:c r="F637" s="15" t="str"/>
      <x:c r="G637" s="16" t="str">
        <x:v>https://cran.r-project.org/web/packages/seminr/vignettes/SEMinR.html</x:v>
      </x:c>
      <x:c r="H637" s="14" t="str">
        <x:v>E09</x:v>
      </x:c>
      <x:c r="I637" s="14" t="str">
        <x:v>Soumya Ray、Nicholas Danks 等</x:v>
      </x:c>
      <x:c r="J637" s="18" t="str"/>
      <x:c r="K637" s="14" t="str">
        <x:v>教材 / 说明书 / 网页</x:v>
      </x:c>
      <x:c r="L637" s="14" t="str">
        <x:v>选读</x:v>
      </x:c>
      <x:c r="M637" s="14" t="str">
        <x:v>以网页课程、在线章节或项目文档形式提供。</x:v>
      </x:c>
      <x:c r="N637" s="14" t="str">
        <x:v>打开官方入口，使用站点提供的下载功能；网页教程可继续在线使用。</x:v>
      </x:c>
      <x:c r="O637" s="14" t="str">
        <x:v>免费替代 SmartPLS 的主要选择；vignette 从测量模型评价一路走到 bootstrap 与预测评估，可直接套用</x:v>
      </x:c>
      <x:c r="P637" s="14" t="str"/>
      <x:c r="Q637" s="14" t="str"/>
      <x:c r="R637" s="17"/>
      <x:c r="S637" s="14" t="str"/>
      <x:c r="T637" s="14" t="str"/>
      <x:c r="U637" s="19" t="n">
        <x:v>46303</x:v>
      </x:c>
    </x:row>
    <x:row r="638" ht="68" customHeight="1">
      <x:c r="A638" s="14" t="str">
        <x:v>D-4270DBF1</x:v>
      </x:c>
      <x:c r="B638" s="14" t="str">
        <x:v>在线阅读</x:v>
      </x:c>
      <x:c r="C638" s="14" t="str">
        <x:v>seminr 官方仓库（R 中的 PLS-SEM，语法接近自然语言）</x:v>
      </x:c>
      <x:c r="D638" s="14" t="str">
        <x:v>英文</x:v>
      </x:c>
      <x:c r="E638" s="15" t="str">
        <x:v>未处理</x:v>
      </x:c>
      <x:c r="F638" s="15" t="str"/>
      <x:c r="G638" s="16" t="str">
        <x:v>https://github.com/sem-in-r/seminr</x:v>
      </x:c>
      <x:c r="H638" s="14" t="str">
        <x:v>E09</x:v>
      </x:c>
      <x:c r="I638" s="14" t="str">
        <x:v>方法/软件项目</x:v>
      </x:c>
      <x:c r="J638" s="18" t="str"/>
      <x:c r="K638" s="14" t="str">
        <x:v>教材 / 说明书 / 网页</x:v>
      </x:c>
      <x:c r="L638" s="14" t="str">
        <x:v>选读</x:v>
      </x:c>
      <x:c r="M638" s="14" t="str">
        <x:v>以网页课程、在线章节或项目文档形式提供。</x:v>
      </x:c>
      <x:c r="N638" s="14" t="str">
        <x:v>打开官方入口，使用站点提供的下载功能；网页教程可继续在线使用。</x:v>
      </x:c>
      <x:c r="O638" s="14" t="str">
        <x:v>本条目的方法说明、参数、示例或诊断入口。</x:v>
      </x:c>
      <x:c r="P638" s="14" t="str"/>
      <x:c r="Q638" s="14" t="str"/>
      <x:c r="R638" s="17"/>
      <x:c r="S638" s="14" t="str"/>
      <x:c r="T638" s="14" t="str"/>
      <x:c r="U638" s="19" t="n">
        <x:v>46303</x:v>
      </x:c>
    </x:row>
    <x:row r="639" ht="68" customHeight="1">
      <x:c r="A639" s="14" t="str">
        <x:v>D-C1A77A1B</x:v>
      </x:c>
      <x:c r="B639" s="14" t="str">
        <x:v>在线阅读</x:v>
      </x:c>
      <x:c r="C639" s="14" t="str">
        <x:v>SEMinR 官方文档（R 中的 PLS-SEM）</x:v>
      </x:c>
      <x:c r="D639" s="14" t="str">
        <x:v>英文</x:v>
      </x:c>
      <x:c r="E639" s="15" t="str">
        <x:v>未处理</x:v>
      </x:c>
      <x:c r="F639" s="15" t="str"/>
      <x:c r="G639" s="16" t="str">
        <x:v>https://seminr.io/</x:v>
      </x:c>
      <x:c r="H639" s="14" t="str">
        <x:v>E09</x:v>
      </x:c>
      <x:c r="I639" s="14" t="str">
        <x:v>方法/软件项目</x:v>
      </x:c>
      <x:c r="J639" s="18" t="str"/>
      <x:c r="K639" s="14" t="str">
        <x:v>教材 / 说明书 / 网页</x:v>
      </x:c>
      <x:c r="L639" s="14" t="str">
        <x:v>选读</x:v>
      </x:c>
      <x:c r="M639" s="14" t="str">
        <x:v>以网页课程、在线章节或项目文档形式提供。</x:v>
      </x:c>
      <x:c r="N639" s="14" t="str">
        <x:v>打开官方入口，使用站点提供的下载功能；网页教程可继续在线使用。</x:v>
      </x:c>
      <x:c r="O639" s="14" t="str">
        <x:v>本条目的方法说明、参数、示例或诊断入口。</x:v>
      </x:c>
      <x:c r="P639" s="14" t="str"/>
      <x:c r="Q639" s="14" t="str"/>
      <x:c r="R639" s="17"/>
      <x:c r="S639" s="14" t="str"/>
      <x:c r="T639" s="14" t="str"/>
      <x:c r="U639" s="19" t="n">
        <x:v>46303</x:v>
      </x:c>
    </x:row>
    <x:row r="640" ht="68" customHeight="1">
      <x:c r="A640" s="14" t="str">
        <x:v>D-90E3E663</x:v>
      </x:c>
      <x:c r="B640" s="14" t="str">
        <x:v>在线阅读</x:v>
      </x:c>
      <x:c r="C640" s="14" t="str">
        <x:v>SmartPLS（最常用的商业软件）</x:v>
      </x:c>
      <x:c r="D640" s="14" t="str">
        <x:v>英文</x:v>
      </x:c>
      <x:c r="E640" s="15" t="str">
        <x:v>未处理</x:v>
      </x:c>
      <x:c r="F640" s="15" t="str"/>
      <x:c r="G640" s="16" t="str">
        <x:v>https://www.smartpls.com/</x:v>
      </x:c>
      <x:c r="H640" s="14" t="str">
        <x:v>E09</x:v>
      </x:c>
      <x:c r="I640" s="14" t="str">
        <x:v>方法/软件项目</x:v>
      </x:c>
      <x:c r="J640" s="18" t="str"/>
      <x:c r="K640" s="14" t="str">
        <x:v>教材 / 说明书 / 网页</x:v>
      </x:c>
      <x:c r="L640" s="14" t="str">
        <x:v>选读</x:v>
      </x:c>
      <x:c r="M640" s="14" t="str">
        <x:v>以网页课程、在线章节或项目文档形式提供。</x:v>
      </x:c>
      <x:c r="N640" s="14" t="str">
        <x:v>打开官方入口，使用站点提供的下载功能；网页教程可继续在线使用。</x:v>
      </x:c>
      <x:c r="O640" s="14" t="str">
        <x:v>本条目的方法说明、参数、示例或诊断入口。</x:v>
      </x:c>
      <x:c r="P640" s="14" t="str"/>
      <x:c r="Q640" s="14" t="str"/>
      <x:c r="R640" s="17"/>
      <x:c r="S640" s="14" t="str"/>
      <x:c r="T640" s="14" t="str"/>
      <x:c r="U640" s="19" t="n">
        <x:v>46303</x:v>
      </x:c>
    </x:row>
    <x:row r="641" ht="68" customHeight="1">
      <x:c r="A641" s="14" t="str">
        <x:v>D-5AF07CFC</x:v>
      </x:c>
      <x:c r="B641" s="14" t="str">
        <x:v>在线阅读</x:v>
      </x:c>
      <x:c r="C641" s="14" t="str">
        <x:v>blavaan 官方站</x:v>
      </x:c>
      <x:c r="D641" s="14" t="str">
        <x:v>英文</x:v>
      </x:c>
      <x:c r="E641" s="15" t="str">
        <x:v>未处理</x:v>
      </x:c>
      <x:c r="F641" s="15" t="str"/>
      <x:c r="G641" s="16" t="str">
        <x:v>https://ecmerkle.github.io/blavaan/</x:v>
      </x:c>
      <x:c r="H641" s="14" t="str">
        <x:v>E10</x:v>
      </x:c>
      <x:c r="I641" s="14" t="str">
        <x:v>方法/软件项目</x:v>
      </x:c>
      <x:c r="J641" s="18" t="str"/>
      <x:c r="K641" s="14" t="str">
        <x:v>教材 / 说明书 / 网页</x:v>
      </x:c>
      <x:c r="L641" s="14" t="str">
        <x:v>选读</x:v>
      </x:c>
      <x:c r="M641" s="14" t="str">
        <x:v>以网页课程、在线章节或项目文档形式提供。</x:v>
      </x:c>
      <x:c r="N641" s="14" t="str">
        <x:v>打开官方入口，使用站点提供的下载功能；网页教程可继续在线使用。</x:v>
      </x:c>
      <x:c r="O641" s="14" t="str">
        <x:v>本条目的方法说明、参数、示例或诊断入口。</x:v>
      </x:c>
      <x:c r="P641" s="14" t="str"/>
      <x:c r="Q641" s="14" t="str"/>
      <x:c r="R641" s="17"/>
      <x:c r="S641" s="14" t="str"/>
      <x:c r="T641" s="14" t="str"/>
      <x:c r="U641" s="19" t="n">
        <x:v>46303</x:v>
      </x:c>
    </x:row>
    <x:row r="642" ht="68" customHeight="1">
      <x:c r="A642" s="14" t="str">
        <x:v>D-BFC567B8</x:v>
      </x:c>
      <x:c r="B642" s="14" t="str">
        <x:v>在线阅读</x:v>
      </x:c>
      <x:c r="C642" s="14" t="str">
        <x:v>regsem 包</x:v>
      </x:c>
      <x:c r="D642" s="14" t="str">
        <x:v>英文</x:v>
      </x:c>
      <x:c r="E642" s="15" t="str">
        <x:v>未处理</x:v>
      </x:c>
      <x:c r="F642" s="15" t="str"/>
      <x:c r="G642" s="16" t="str">
        <x:v>https://cran.r-project.org/package=regsem</x:v>
      </x:c>
      <x:c r="H642" s="14" t="str">
        <x:v>E10</x:v>
      </x:c>
      <x:c r="I642" s="14" t="str">
        <x:v>方法/软件项目</x:v>
      </x:c>
      <x:c r="J642" s="18" t="str"/>
      <x:c r="K642" s="14" t="str">
        <x:v>教材 / 说明书 / 网页</x:v>
      </x:c>
      <x:c r="L642" s="14" t="str">
        <x:v>选读</x:v>
      </x:c>
      <x:c r="M642" s="14" t="str">
        <x:v>以网页课程、在线章节或项目文档形式提供。</x:v>
      </x:c>
      <x:c r="N642" s="14" t="str">
        <x:v>打开官方入口，使用站点提供的下载功能；网页教程可继续在线使用。</x:v>
      </x:c>
      <x:c r="O642" s="14" t="str">
        <x:v>本条目的方法说明、参数、示例或诊断入口。</x:v>
      </x:c>
      <x:c r="P642" s="14" t="str"/>
      <x:c r="Q642" s="14" t="str"/>
      <x:c r="R642" s="17"/>
      <x:c r="S642" s="14" t="str"/>
      <x:c r="T642" s="14" t="str"/>
      <x:c r="U642" s="19" t="n">
        <x:v>46303</x:v>
      </x:c>
    </x:row>
    <x:row r="643" ht="68" customHeight="1">
      <x:c r="A643" s="14" t="str">
        <x:v>D-536D3BF9</x:v>
      </x:c>
      <x:c r="B643" s="14" t="str">
        <x:v>在线阅读</x:v>
      </x:c>
      <x:c r="C643" s="14" t="str">
        <x:v>Stan 官方案例研究：Bayesian SEM using blavaan</x:v>
      </x:c>
      <x:c r="D643" s="14" t="str">
        <x:v>英文</x:v>
      </x:c>
      <x:c r="E643" s="15" t="str">
        <x:v>未处理</x:v>
      </x:c>
      <x:c r="F643" s="15" t="str"/>
      <x:c r="G643" s="16" t="str">
        <x:v>https://mc-stan.org/learn-stan/case-studies/sem.html</x:v>
      </x:c>
      <x:c r="H643" s="14" t="str">
        <x:v>E10</x:v>
      </x:c>
      <x:c r="I643" s="14" t="str">
        <x:v>Stan 开发团队</x:v>
      </x:c>
      <x:c r="J643" s="18" t="str"/>
      <x:c r="K643" s="14" t="str">
        <x:v>教材 / 说明书 / 网页</x:v>
      </x:c>
      <x:c r="L643" s="14" t="str">
        <x:v>选读</x:v>
      </x:c>
      <x:c r="M643" s="14" t="str">
        <x:v>以网页课程、在线章节或项目文档形式提供。</x:v>
      </x:c>
      <x:c r="N643" s="14" t="str">
        <x:v>打开官方入口，使用站点提供的下载功能；网页教程可继续在线使用。</x:v>
      </x:c>
      <x:c r="O643" s="14" t="str">
        <x:v>从模型设定到后验诊断的完整可运行案例，把贝叶斯 SEM 放进 Stan 的诊断工作流里讲</x:v>
      </x:c>
      <x:c r="P643" s="14" t="str"/>
      <x:c r="Q643" s="14" t="str"/>
      <x:c r="R643" s="17"/>
      <x:c r="S643" s="14" t="str"/>
      <x:c r="T643" s="14" t="str"/>
      <x:c r="U643" s="19" t="n">
        <x:v>46303</x:v>
      </x:c>
    </x:row>
    <x:row r="644" ht="68" customHeight="1">
      <x:c r="A644" s="14" t="str">
        <x:v>D-63C59BBE</x:v>
      </x:c>
      <x:c r="B644" s="14" t="str">
        <x:v>在线阅读</x:v>
      </x:c>
      <x:c r="C644" s="14" t="str">
        <x:v>Nonlinear effects · simulation code</x:v>
      </x:c>
      <x:c r="D644" s="14" t="str">
        <x:v>英文</x:v>
      </x:c>
      <x:c r="E644" s="15" t="str">
        <x:v>未处理</x:v>
      </x:c>
      <x:c r="F644" s="15" t="str"/>
      <x:c r="G644" s="16" t="str">
        <x:v>https://github.com/felipelfv/simulation_nonlinear</x:v>
      </x:c>
      <x:c r="H644" s="14" t="str">
        <x:v>E11</x:v>
      </x:c>
      <x:c r="I644" s="14" t="str">
        <x:v>Felipe L. F. Vieira 等作者</x:v>
      </x:c>
      <x:c r="J644" s="18" t="str"/>
      <x:c r="K644" s="14" t="str">
        <x:v>教学</x:v>
      </x:c>
      <x:c r="L644" s="14" t="str">
        <x:v>选读</x:v>
      </x:c>
      <x:c r="M644" s="14" t="str">
        <x:v>以网页课程、在线章节或项目文档形式提供。</x:v>
      </x:c>
      <x:c r="N644" s="14" t="str">
        <x:v>打开官方入口，使用站点提供的下载功能；网页教程可继续在线使用。</x:v>
      </x:c>
      <x:c r="O644" s="14" t="str">
        <x:v>2026 local SAM 比较论文的模拟代码入口。</x:v>
      </x:c>
      <x:c r="P644" s="14" t="str"/>
      <x:c r="Q644" s="14" t="str"/>
      <x:c r="R644" s="17"/>
      <x:c r="S644" s="14" t="str"/>
      <x:c r="T644" s="14" t="str"/>
      <x:c r="U644" s="19" t="n">
        <x:v>46303</x:v>
      </x:c>
    </x:row>
    <x:row r="645" ht="68" customHeight="1">
      <x:c r="A645" s="14" t="str">
        <x:v>D-E8D7A57A</x:v>
      </x:c>
      <x:c r="B645" s="14" t="str">
        <x:v>在线阅读</x:v>
      </x:c>
      <x:c r="C645" s="14" t="str">
        <x:v>sjPlot（多层模型出版级表格与图）</x:v>
      </x:c>
      <x:c r="D645" s="14" t="str">
        <x:v>英文</x:v>
      </x:c>
      <x:c r="E645" s="15" t="str">
        <x:v>未处理</x:v>
      </x:c>
      <x:c r="F645" s="15" t="str"/>
      <x:c r="G645" s="16" t="str">
        <x:v>https://strengejacke.github.io/sjPlot/</x:v>
      </x:c>
      <x:c r="H645" s="14" t="str">
        <x:v>F01</x:v>
      </x:c>
      <x:c r="I645" s="14" t="str">
        <x:v>strengejacke.github.io</x:v>
      </x:c>
      <x:c r="J645" s="18" t="str"/>
      <x:c r="K645" s="14" t="str">
        <x:v>教材 / 说明书 / 网页</x:v>
      </x:c>
      <x:c r="L645" s="14" t="str">
        <x:v>选读</x:v>
      </x:c>
      <x:c r="M645" s="14" t="str">
        <x:v>以网页课程、在线章节或项目文档形式提供。</x:v>
      </x:c>
      <x:c r="N645" s="14" t="str">
        <x:v>打开官方入口，使用站点提供的下载功能；网页教程可继续在线使用。</x:v>
      </x:c>
      <x:c r="O645" s="14" t="str">
        <x:v>官方说明与使用示例。</x:v>
      </x:c>
      <x:c r="P645" s="14" t="str"/>
      <x:c r="Q645" s="14" t="str"/>
      <x:c r="R645" s="17"/>
      <x:c r="S645" s="14" t="str"/>
      <x:c r="T645" s="14" t="str"/>
      <x:c r="U645" s="19" t="n">
        <x:v>46303</x:v>
      </x:c>
    </x:row>
    <x:row r="646" ht="68" customHeight="1">
      <x:c r="A646" s="14" t="str">
        <x:v>D-59800138</x:v>
      </x:c>
      <x:c r="B646" s="14" t="str">
        <x:v>在线阅读</x:v>
      </x:c>
      <x:c r="C646" s="14" t="str">
        <x:v>Introduction to Linear Mixed Models</x:v>
      </x:c>
      <x:c r="D646" s="14" t="str">
        <x:v>英文</x:v>
      </x:c>
      <x:c r="E646" s="15" t="str">
        <x:v>未处理</x:v>
      </x:c>
      <x:c r="F646" s="15" t="str"/>
      <x:c r="G646" s="16" t="str">
        <x:v>https://stats.oarc.ucla.edu/other/mult-pkg/introduction-to-linear-mixed-models/</x:v>
      </x:c>
      <x:c r="H646" s="14" t="str">
        <x:v>F01；F02；F03；F04；F05；F06</x:v>
      </x:c>
      <x:c r="I646" s="14" t="str">
        <x:v>UCLA Statistical Methods and Data Analytics</x:v>
      </x:c>
      <x:c r="J646" s="18" t="str"/>
      <x:c r="K646" s="14" t="str">
        <x:v>教材 / 说明书 / 网页</x:v>
      </x:c>
      <x:c r="L646" s="14" t="str">
        <x:v>选读</x:v>
      </x:c>
      <x:c r="M646" s="14" t="str">
        <x:v>以网页课程、在线章节或项目文档形式提供。</x:v>
      </x:c>
      <x:c r="N646" s="14" t="str">
        <x:v>打开官方入口，使用站点提供的下载功能；网页教程可继续在线使用。</x:v>
      </x:c>
      <x:c r="O646" s="14" t="str">
        <x:v>用完整实例解释层级结构、拟合、比较与解释。</x:v>
      </x:c>
      <x:c r="P646" s="14" t="str"/>
      <x:c r="Q646" s="14" t="str"/>
      <x:c r="R646" s="17"/>
      <x:c r="S646" s="14" t="str"/>
      <x:c r="T646" s="14" t="str"/>
      <x:c r="U646" s="19" t="n">
        <x:v>46303</x:v>
      </x:c>
    </x:row>
    <x:row r="647" ht="68" customHeight="1">
      <x:c r="A647" s="14" t="str">
        <x:v>D-789DC54B</x:v>
      </x:c>
      <x:c r="B647" s="14" t="str">
        <x:v>在线阅读</x:v>
      </x:c>
      <x:c r="C647" s="14" t="str">
        <x:v>Mixed Models with R</x:v>
      </x:c>
      <x:c r="D647" s="14" t="str">
        <x:v>英文</x:v>
      </x:c>
      <x:c r="E647" s="15" t="str">
        <x:v>未处理</x:v>
      </x:c>
      <x:c r="F647" s="15" t="str"/>
      <x:c r="G647" s="16" t="str">
        <x:v>https://m-clark.github.io/mixed-models-with-R/</x:v>
      </x:c>
      <x:c r="H647" s="14" t="str">
        <x:v>F01；F02；F03；F04；F05；F06</x:v>
      </x:c>
      <x:c r="I647" s="14" t="str">
        <x:v>Michael Clark</x:v>
      </x:c>
      <x:c r="J647" s="18" t="str"/>
      <x:c r="K647" s="14" t="str">
        <x:v>教材 / 说明书 / 网页</x:v>
      </x:c>
      <x:c r="L647" s="14" t="str">
        <x:v>选读</x:v>
      </x:c>
      <x:c r="M647" s="14" t="str">
        <x:v>以网页课程、在线章节或项目文档形式提供。</x:v>
      </x:c>
      <x:c r="N647" s="14" t="str">
        <x:v>打开官方入口，使用站点提供的下载功能；网页教程可继续在线使用。</x:v>
      </x:c>
      <x:c r="O647" s="14" t="str">
        <x:v>随机截距、随机斜率、广义混合模型、诊断与预测。</x:v>
      </x:c>
      <x:c r="P647" s="14" t="str"/>
      <x:c r="Q647" s="14" t="str"/>
      <x:c r="R647" s="17"/>
      <x:c r="S647" s="14" t="str"/>
      <x:c r="T647" s="14" t="str"/>
      <x:c r="U647" s="19" t="n">
        <x:v>46303</x:v>
      </x:c>
    </x:row>
    <x:row r="648" ht="68" customHeight="1">
      <x:c r="A648" s="14" t="str">
        <x:v>D-AC33B5AB</x:v>
      </x:c>
      <x:c r="B648" s="14" t="str">
        <x:v>在线阅读</x:v>
      </x:c>
      <x:c r="C648" s="14" t="str">
        <x:v>R语言教程 · 37 线性混合模型</x:v>
      </x:c>
      <x:c r="D648" s="14" t="str">
        <x:v>中文</x:v>
      </x:c>
      <x:c r="E648" s="15" t="str">
        <x:v>未处理</x:v>
      </x:c>
      <x:c r="F648" s="15" t="str"/>
      <x:c r="G648" s="16" t="str">
        <x:v>https://math.pku.edu.cn/teachers/lidf/docs/Rbook/html/_Rbook/stat-lme.html</x:v>
      </x:c>
      <x:c r="H648" s="14" t="str">
        <x:v>F01；F02；F03；F04；F05；F06；F08</x:v>
      </x:c>
      <x:c r="I648" s="14" t="str">
        <x:v>李东风 · 北京大学</x:v>
      </x:c>
      <x:c r="J648" s="18" t="str"/>
      <x:c r="K648" s="14" t="str">
        <x:v>教材 / 说明书 / 网页</x:v>
      </x:c>
      <x:c r="L648" s="14" t="str">
        <x:v>选读</x:v>
      </x:c>
      <x:c r="M648" s="14" t="str">
        <x:v>以网页课程、在线章节或项目文档形式提供。</x:v>
      </x:c>
      <x:c r="N648" s="14" t="str">
        <x:v>打开官方入口，使用站点提供的下载功能；网页教程可继续在线使用。</x:v>
      </x:c>
      <x:c r="O648" s="14" t="str">
        <x:v>作者课程讲义，含 R 示例与章节练习。</x:v>
      </x:c>
      <x:c r="P648" s="14" t="str"/>
      <x:c r="Q648" s="14" t="str"/>
      <x:c r="R648" s="17"/>
      <x:c r="S648" s="14" t="str"/>
      <x:c r="T648" s="14" t="str"/>
      <x:c r="U648" s="19" t="n">
        <x:v>46303</x:v>
      </x:c>
    </x:row>
    <x:row r="649" ht="68" customHeight="1">
      <x:c r="A649" s="14" t="str">
        <x:v>D-006994DD</x:v>
      </x:c>
      <x:c r="B649" s="14" t="str">
        <x:v>在线阅读</x:v>
      </x:c>
      <x:c r="C649" s="14" t="str">
        <x:v>GLMM FAQ（收敛与随机结构的权威问答）</x:v>
      </x:c>
      <x:c r="D649" s="14" t="str">
        <x:v>英文</x:v>
      </x:c>
      <x:c r="E649" s="15" t="str">
        <x:v>未处理</x:v>
      </x:c>
      <x:c r="F649" s="15" t="str"/>
      <x:c r="G649" s="16" t="str">
        <x:v>https://bbolker.github.io/mixedmodels-misc/glmmFAQ.html</x:v>
      </x:c>
      <x:c r="H649" s="14" t="str">
        <x:v>F01；F02；F03；F04；F05；F06；M14</x:v>
      </x:c>
      <x:c r="I649" s="14" t="str">
        <x:v>方法/软件项目</x:v>
      </x:c>
      <x:c r="J649" s="18" t="str"/>
      <x:c r="K649" s="14" t="str">
        <x:v>教材 / 说明书 / 网页</x:v>
      </x:c>
      <x:c r="L649" s="14" t="str">
        <x:v>选读</x:v>
      </x:c>
      <x:c r="M649" s="14" t="str">
        <x:v>以网页课程、在线章节或项目文档形式提供。</x:v>
      </x:c>
      <x:c r="N649" s="14" t="str">
        <x:v>打开官方入口，使用站点提供的下载功能；网页教程可继续在线使用。</x:v>
      </x:c>
      <x:c r="O649" s="14" t="str">
        <x:v>本条目的方法说明、参数、示例或诊断入口。</x:v>
      </x:c>
      <x:c r="P649" s="14" t="str"/>
      <x:c r="Q649" s="14" t="str"/>
      <x:c r="R649" s="17"/>
      <x:c r="S649" s="14" t="str"/>
      <x:c r="T649" s="14" t="str"/>
      <x:c r="U649" s="19" t="n">
        <x:v>46303</x:v>
      </x:c>
    </x:row>
    <x:row r="650" ht="68" customHeight="1">
      <x:c r="A650" s="14" t="str">
        <x:v>D-7A861542</x:v>
      </x:c>
      <x:c r="B650" s="14" t="str">
        <x:v>在线阅读</x:v>
      </x:c>
      <x:c r="C650" s="14" t="str">
        <x:v>Bristol 多层模型在线课程（免费）</x:v>
      </x:c>
      <x:c r="D650" s="14" t="str">
        <x:v>英文</x:v>
      </x:c>
      <x:c r="E650" s="15" t="str">
        <x:v>未处理</x:v>
      </x:c>
      <x:c r="F650" s="15" t="str"/>
      <x:c r="G650" s="16" t="str">
        <x:v>http://www.bristol.ac.uk/cmm/learning/online-course/</x:v>
      </x:c>
      <x:c r="H650" s="14" t="str">
        <x:v>F01；F02；F03；F06</x:v>
      </x:c>
      <x:c r="I650" s="14" t="str">
        <x:v>方法/软件项目</x:v>
      </x:c>
      <x:c r="J650" s="18" t="str"/>
      <x:c r="K650" s="14" t="str">
        <x:v>教材 / 说明书 / 网页</x:v>
      </x:c>
      <x:c r="L650" s="14" t="str">
        <x:v>选读</x:v>
      </x:c>
      <x:c r="M650" s="14" t="str">
        <x:v>以网页课程、在线章节或项目文档形式提供。</x:v>
      </x:c>
      <x:c r="N650" s="14" t="str">
        <x:v>打开官方入口，使用站点提供的下载功能；网页教程可继续在线使用。</x:v>
      </x:c>
      <x:c r="O650" s="14" t="str">
        <x:v>本条目的方法说明、参数、示例或诊断入口。</x:v>
      </x:c>
      <x:c r="P650" s="14" t="str"/>
      <x:c r="Q650" s="14" t="str"/>
      <x:c r="R650" s="17"/>
      <x:c r="S650" s="14" t="str"/>
      <x:c r="T650" s="14" t="str"/>
      <x:c r="U650" s="19" t="n">
        <x:v>46303</x:v>
      </x:c>
    </x:row>
    <x:row r="651" ht="68" customHeight="1">
      <x:c r="A651" s="14" t="str">
        <x:v>D-C69DA9A6</x:v>
      </x:c>
      <x:c r="B651" s="14" t="str">
        <x:v>在线阅读</x:v>
      </x:c>
      <x:c r="C651" s="14" t="str">
        <x:v>GLMM 实例集（Bolker）</x:v>
      </x:c>
      <x:c r="D651" s="14" t="str">
        <x:v>英文</x:v>
      </x:c>
      <x:c r="E651" s="15" t="str">
        <x:v>未处理</x:v>
      </x:c>
      <x:c r="F651" s="15" t="str"/>
      <x:c r="G651" s="16" t="str">
        <x:v>https://bbolker.github.io/mixedmodels-misc/ecostats_chap.html</x:v>
      </x:c>
      <x:c r="H651" s="14" t="str">
        <x:v>F03</x:v>
      </x:c>
      <x:c r="I651" s="14" t="str">
        <x:v>bbolker.github.io</x:v>
      </x:c>
      <x:c r="J651" s="18" t="str"/>
      <x:c r="K651" s="14" t="str">
        <x:v>教材 / 说明书 / 网页</x:v>
      </x:c>
      <x:c r="L651" s="14" t="str">
        <x:v>选读</x:v>
      </x:c>
      <x:c r="M651" s="14" t="str">
        <x:v>以网页课程、在线章节或项目文档形式提供。</x:v>
      </x:c>
      <x:c r="N651" s="14" t="str">
        <x:v>打开官方入口，使用站点提供的下载功能；网页教程可继续在线使用。</x:v>
      </x:c>
      <x:c r="O651" s="14" t="str">
        <x:v>官方说明与使用示例。</x:v>
      </x:c>
      <x:c r="P651" s="14" t="str"/>
      <x:c r="Q651" s="14" t="str"/>
      <x:c r="R651" s="17"/>
      <x:c r="S651" s="14" t="str"/>
      <x:c r="T651" s="14" t="str"/>
      <x:c r="U651" s="19" t="n">
        <x:v>46303</x:v>
      </x:c>
    </x:row>
    <x:row r="652" ht="68" customHeight="1">
      <x:c r="A652" s="14" t="str">
        <x:v>D-23EE2B27</x:v>
      </x:c>
      <x:c r="B652" s="14" t="str">
        <x:v>在线阅读</x:v>
      </x:c>
      <x:c r="C652" s="14" t="str">
        <x:v>David Kenny 的二人数据资源站（含在线计算器）</x:v>
      </x:c>
      <x:c r="D652" s="14" t="str">
        <x:v>英文</x:v>
      </x:c>
      <x:c r="E652" s="15" t="str">
        <x:v>未处理</x:v>
      </x:c>
      <x:c r="F652" s="15" t="str"/>
      <x:c r="G652" s="16" t="str">
        <x:v>https://davidakenny.net/dyad.htm</x:v>
      </x:c>
      <x:c r="H652" s="14" t="str">
        <x:v>F04</x:v>
      </x:c>
      <x:c r="I652" s="14" t="str">
        <x:v>方法/软件项目</x:v>
      </x:c>
      <x:c r="J652" s="18" t="str"/>
      <x:c r="K652" s="14" t="str">
        <x:v>教材 / 说明书 / 网页</x:v>
      </x:c>
      <x:c r="L652" s="14" t="str">
        <x:v>选读</x:v>
      </x:c>
      <x:c r="M652" s="14" t="str">
        <x:v>以网页课程、在线章节或项目文档形式提供。</x:v>
      </x:c>
      <x:c r="N652" s="14" t="str">
        <x:v>打开官方入口，使用站点提供的下载功能；网页教程可继续在线使用。</x:v>
      </x:c>
      <x:c r="O652" s="14" t="str">
        <x:v>本条目的方法说明、参数、示例或诊断入口。</x:v>
      </x:c>
      <x:c r="P652" s="14" t="str"/>
      <x:c r="Q652" s="14" t="str"/>
      <x:c r="R652" s="17"/>
      <x:c r="S652" s="14" t="str"/>
      <x:c r="T652" s="14" t="str"/>
      <x:c r="U652" s="19" t="n">
        <x:v>46303</x:v>
      </x:c>
    </x:row>
    <x:row r="653" ht="68" customHeight="1">
      <x:c r="A653" s="14" t="str">
        <x:v>D-93F5E4FB</x:v>
      </x:c>
      <x:c r="B653" s="14" t="str">
        <x:v>在线阅读</x:v>
      </x:c>
      <x:c r="C653" s="14" t="str">
        <x:v>DyadR 在线应用（免费网页工具，无需安装即可跑 APIM）</x:v>
      </x:c>
      <x:c r="D653" s="14" t="str">
        <x:v>英文</x:v>
      </x:c>
      <x:c r="E653" s="15" t="str">
        <x:v>未处理</x:v>
      </x:c>
      <x:c r="F653" s="15" t="str"/>
      <x:c r="G653" s="16" t="str">
        <x:v>https://davidakenny.net/DyadR/DyadR.htm</x:v>
      </x:c>
      <x:c r="H653" s="14" t="str">
        <x:v>F04</x:v>
      </x:c>
      <x:c r="I653" s="14" t="str">
        <x:v>David A. Kenny 与 Thomas Ledermann</x:v>
      </x:c>
      <x:c r="J653" s="18" t="str"/>
      <x:c r="K653" s="14" t="str">
        <x:v>教材 / 说明书 / 网页</x:v>
      </x:c>
      <x:c r="L653" s="14" t="str">
        <x:v>选读</x:v>
      </x:c>
      <x:c r="M653" s="14" t="str">
        <x:v>以网页课程、在线章节或项目文档形式提供。</x:v>
      </x:c>
      <x:c r="N653" s="14" t="str">
        <x:v>打开官方入口，使用站点提供的下载功能；网页教程可继续在线使用。</x:v>
      </x:c>
      <x:c r="O653" s="14" t="str">
        <x:v>APIM 提出者本人维护的工具站：数据重构、APIM 估计、功效分析都能在浏览器里做完，结果可导出 docx/pdf</x:v>
      </x:c>
      <x:c r="P653" s="14" t="str"/>
      <x:c r="Q653" s="14" t="str"/>
      <x:c r="R653" s="17"/>
      <x:c r="S653" s="14" t="str"/>
      <x:c r="T653" s="14" t="str"/>
      <x:c r="U653" s="19" t="n">
        <x:v>46303</x:v>
      </x:c>
    </x:row>
    <x:row r="654" ht="68" customHeight="1">
      <x:c r="A654" s="14" t="str">
        <x:v>D-D00FD4CB</x:v>
      </x:c>
      <x:c r="B654" s="14" t="str">
        <x:v>在线阅读</x:v>
      </x:c>
      <x:c r="C654" s="14" t="str">
        <x:v>srm 包（社会关系模型）</x:v>
      </x:c>
      <x:c r="D654" s="14" t="str">
        <x:v>英文</x:v>
      </x:c>
      <x:c r="E654" s="15" t="str">
        <x:v>未处理</x:v>
      </x:c>
      <x:c r="F654" s="15" t="str"/>
      <x:c r="G654" s="16" t="str">
        <x:v>https://cran.r-project.org/package=srm</x:v>
      </x:c>
      <x:c r="H654" s="14" t="str">
        <x:v>F04</x:v>
      </x:c>
      <x:c r="I654" s="14" t="str">
        <x:v>方法/软件项目</x:v>
      </x:c>
      <x:c r="J654" s="18" t="str"/>
      <x:c r="K654" s="14" t="str">
        <x:v>教材 / 说明书 / 网页</x:v>
      </x:c>
      <x:c r="L654" s="14" t="str">
        <x:v>选读</x:v>
      </x:c>
      <x:c r="M654" s="14" t="str">
        <x:v>以网页课程、在线章节或项目文档形式提供。</x:v>
      </x:c>
      <x:c r="N654" s="14" t="str">
        <x:v>打开官方入口，使用站点提供的下载功能；网页教程可继续在线使用。</x:v>
      </x:c>
      <x:c r="O654" s="14" t="str">
        <x:v>本条目的方法说明、参数、示例或诊断入口。</x:v>
      </x:c>
      <x:c r="P654" s="14" t="str"/>
      <x:c r="Q654" s="14" t="str"/>
      <x:c r="R654" s="17"/>
      <x:c r="S654" s="14" t="str"/>
      <x:c r="T654" s="14" t="str"/>
      <x:c r="U654" s="19" t="n">
        <x:v>46303</x:v>
      </x:c>
    </x:row>
    <x:row r="655" ht="68" customHeight="1">
      <x:c r="A655" s="14" t="str">
        <x:v>D-E1A3EE87</x:v>
      </x:c>
      <x:c r="B655" s="14" t="str">
        <x:v>在线阅读</x:v>
      </x:c>
      <x:c r="C655" s="14" t="str">
        <x:v>plm 包</x:v>
      </x:c>
      <x:c r="D655" s="14" t="str">
        <x:v>英文</x:v>
      </x:c>
      <x:c r="E655" s="15" t="str">
        <x:v>未处理</x:v>
      </x:c>
      <x:c r="F655" s="15" t="str"/>
      <x:c r="G655" s="16" t="str">
        <x:v>https://cran.r-project.org/package=plm</x:v>
      </x:c>
      <x:c r="H655" s="14" t="str">
        <x:v>F05</x:v>
      </x:c>
      <x:c r="I655" s="14" t="str">
        <x:v>方法/软件项目</x:v>
      </x:c>
      <x:c r="J655" s="18" t="str"/>
      <x:c r="K655" s="14" t="str">
        <x:v>教材 / 说明书 / 网页</x:v>
      </x:c>
      <x:c r="L655" s="14" t="str">
        <x:v>选读</x:v>
      </x:c>
      <x:c r="M655" s="14" t="str">
        <x:v>以网页课程、在线章节或项目文档形式提供。</x:v>
      </x:c>
      <x:c r="N655" s="14" t="str">
        <x:v>打开官方入口，使用站点提供的下载功能；网页教程可继续在线使用。</x:v>
      </x:c>
      <x:c r="O655" s="14" t="str">
        <x:v>本条目的方法说明、参数、示例或诊断入口。</x:v>
      </x:c>
      <x:c r="P655" s="14" t="str"/>
      <x:c r="Q655" s="14" t="str"/>
      <x:c r="R655" s="17"/>
      <x:c r="S655" s="14" t="str"/>
      <x:c r="T655" s="14" t="str"/>
      <x:c r="U655" s="19" t="n">
        <x:v>46303</x:v>
      </x:c>
    </x:row>
    <x:row r="656" ht="68" customHeight="1">
      <x:c r="A656" s="14" t="str">
        <x:v>D-54A70171</x:v>
      </x:c>
      <x:c r="B656" s="14" t="str">
        <x:v>在线阅读</x:v>
      </x:c>
      <x:c r="C656" s="14" t="str">
        <x:v>The Effect：固定效应（第 16 章）</x:v>
      </x:c>
      <x:c r="D656" s="14" t="str">
        <x:v>英文</x:v>
      </x:c>
      <x:c r="E656" s="15" t="str">
        <x:v>未处理</x:v>
      </x:c>
      <x:c r="F656" s="15" t="str"/>
      <x:c r="G656" s="16" t="str">
        <x:v>https://nickchk.com/theeffectvideos.html</x:v>
      </x:c>
      <x:c r="H656" s="14" t="str">
        <x:v>F05；G04；G05；G09；G10；H05</x:v>
      </x:c>
      <x:c r="I656" s="14" t="str">
        <x:v>Nick Huntington-Klein</x:v>
      </x:c>
      <x:c r="J656" s="18" t="str"/>
      <x:c r="K656" s="14" t="str">
        <x:v>教材 / 说明书 / 网页</x:v>
      </x:c>
      <x:c r="L656" s="14" t="str">
        <x:v>选读</x:v>
      </x:c>
      <x:c r="M656" s="14" t="str">
        <x:v>以网页课程、在线章节或项目文档形式提供。</x:v>
      </x:c>
      <x:c r="N656" s="14" t="str">
        <x:v>打开官方入口，使用站点提供的下载功能；网页教程可继续在线使用。</x:v>
      </x:c>
      <x:c r="O656" s="14" t="str">
        <x:v>用因果图解释固定效应到底关掉了哪条后门路径，以及它为什么对时不变混杂有效、对时变混杂无效</x:v>
      </x:c>
      <x:c r="P656" s="14" t="str"/>
      <x:c r="Q656" s="14" t="str"/>
      <x:c r="R656" s="17"/>
      <x:c r="S656" s="14" t="str"/>
      <x:c r="T656" s="14" t="str"/>
      <x:c r="U656" s="19" t="n">
        <x:v>46303</x:v>
      </x:c>
    </x:row>
    <x:row r="657" ht="68" customHeight="1">
      <x:c r="A657" s="14" t="str">
        <x:v>D-5DAAE251</x:v>
      </x:c>
      <x:c r="B657" s="14" t="str">
        <x:v>在线阅读</x:v>
      </x:c>
      <x:c r="C657" s="14" t="str">
        <x:v>fixest 官方站</x:v>
      </x:c>
      <x:c r="D657" s="14" t="str">
        <x:v>英文</x:v>
      </x:c>
      <x:c r="E657" s="15" t="str">
        <x:v>未处理</x:v>
      </x:c>
      <x:c r="F657" s="15" t="str"/>
      <x:c r="G657" s="16" t="str">
        <x:v>https://lrberge.github.io/fixest/</x:v>
      </x:c>
      <x:c r="H657" s="14" t="str">
        <x:v>F05；G07；G08</x:v>
      </x:c>
      <x:c r="I657" s="14" t="str">
        <x:v>方法/软件项目</x:v>
      </x:c>
      <x:c r="J657" s="18" t="str"/>
      <x:c r="K657" s="14" t="str">
        <x:v>教材 / 说明书 / 网页</x:v>
      </x:c>
      <x:c r="L657" s="14" t="str">
        <x:v>选读</x:v>
      </x:c>
      <x:c r="M657" s="14" t="str">
        <x:v>以网页课程、在线章节或项目文档形式提供。</x:v>
      </x:c>
      <x:c r="N657" s="14" t="str">
        <x:v>打开官方入口，使用站点提供的下载功能；网页教程可继续在线使用。</x:v>
      </x:c>
      <x:c r="O657" s="14" t="str">
        <x:v>本条目的方法说明、参数、示例或诊断入口。</x:v>
      </x:c>
      <x:c r="P657" s="14" t="str"/>
      <x:c r="Q657" s="14" t="str"/>
      <x:c r="R657" s="17"/>
      <x:c r="S657" s="14" t="str"/>
      <x:c r="T657" s="14" t="str"/>
      <x:c r="U657" s="19" t="n">
        <x:v>46303</x:v>
      </x:c>
    </x:row>
    <x:row r="658" ht="68" customHeight="1">
      <x:c r="A658" s="14" t="str">
        <x:v>D-59452E65</x:v>
      </x:c>
      <x:c r="B658" s="14" t="str">
        <x:v>在线阅读</x:v>
      </x:c>
      <x:c r="C658" s="14" t="str">
        <x:v>geepack 包</x:v>
      </x:c>
      <x:c r="D658" s="14" t="str">
        <x:v>英文</x:v>
      </x:c>
      <x:c r="E658" s="15" t="str">
        <x:v>未处理</x:v>
      </x:c>
      <x:c r="F658" s="15" t="str"/>
      <x:c r="G658" s="16" t="str">
        <x:v>https://cran.r-project.org/package=geepack</x:v>
      </x:c>
      <x:c r="H658" s="14" t="str">
        <x:v>F06</x:v>
      </x:c>
      <x:c r="I658" s="14" t="str">
        <x:v>方法/软件项目</x:v>
      </x:c>
      <x:c r="J658" s="18" t="str"/>
      <x:c r="K658" s="14" t="str">
        <x:v>教材 / 说明书 / 网页</x:v>
      </x:c>
      <x:c r="L658" s="14" t="str">
        <x:v>选读</x:v>
      </x:c>
      <x:c r="M658" s="14" t="str">
        <x:v>以网页课程、在线章节或项目文档形式提供。</x:v>
      </x:c>
      <x:c r="N658" s="14" t="str">
        <x:v>打开官方入口，使用站点提供的下载功能；网页教程可继续在线使用。</x:v>
      </x:c>
      <x:c r="O658" s="14" t="str">
        <x:v>本条目的方法说明、参数、示例或诊断入口。</x:v>
      </x:c>
      <x:c r="P658" s="14" t="str"/>
      <x:c r="Q658" s="14" t="str"/>
      <x:c r="R658" s="17"/>
      <x:c r="S658" s="14" t="str"/>
      <x:c r="T658" s="14" t="str"/>
      <x:c r="U658" s="19" t="n">
        <x:v>46303</x:v>
      </x:c>
    </x:row>
    <x:row r="659" ht="68" customHeight="1">
      <x:c r="A659" s="14" t="str">
        <x:v>D-9A6EB38B</x:v>
      </x:c>
      <x:c r="B659" s="14" t="str">
        <x:v>在线阅读</x:v>
      </x:c>
      <x:c r="C659" s="14" t="str">
        <x:v>Two-stage random slopes · author supplement</x:v>
      </x:c>
      <x:c r="D659" s="14" t="str">
        <x:v>英文</x:v>
      </x:c>
      <x:c r="E659" s="15" t="str">
        <x:v>未处理</x:v>
      </x:c>
      <x:c r="F659" s="15" t="str"/>
      <x:c r="G659" s="16" t="str">
        <x:v>https://github.com/marklhc/2spa-random-slopes-supp</x:v>
      </x:c>
      <x:c r="H659" s="14" t="str">
        <x:v>F07</x:v>
      </x:c>
      <x:c r="I659" s="14" t="str">
        <x:v>Mark Lai / Siyuan Liu</x:v>
      </x:c>
      <x:c r="J659" s="18" t="str"/>
      <x:c r="K659" s="14" t="str">
        <x:v>教学</x:v>
      </x:c>
      <x:c r="L659" s="14" t="str">
        <x:v>选读</x:v>
      </x:c>
      <x:c r="M659" s="14" t="str">
        <x:v>以网页课程、在线章节或项目文档形式提供。</x:v>
      </x:c>
      <x:c r="N659" s="14" t="str">
        <x:v>打开官方入口，使用站点提供的下载功能；网页教程可继续在线使用。</x:v>
      </x:c>
      <x:c r="O659" s="14" t="str">
        <x:v>与随机斜率两阶段误差校正论文对应的作者材料。</x:v>
      </x:c>
      <x:c r="P659" s="14" t="str"/>
      <x:c r="Q659" s="14" t="str"/>
      <x:c r="R659" s="17"/>
      <x:c r="S659" s="14" t="str"/>
      <x:c r="T659" s="14" t="str"/>
      <x:c r="U659" s="19" t="n">
        <x:v>46303</x:v>
      </x:c>
    </x:row>
    <x:row r="660" ht="68" customHeight="1">
      <x:c r="A660" s="14" t="str">
        <x:v>D-F84772B9</x:v>
      </x:c>
      <x:c r="B660" s="14" t="str">
        <x:v>在线阅读</x:v>
      </x:c>
      <x:c r="C660" s="14" t="str">
        <x:v>Statistical Rethinking 2024 · 课程讲义与作业</x:v>
      </x:c>
      <x:c r="D660" s="14" t="str">
        <x:v>英文</x:v>
      </x:c>
      <x:c r="E660" s="15" t="str">
        <x:v>未处理</x:v>
      </x:c>
      <x:c r="F660" s="15" t="str"/>
      <x:c r="G660" s="16" t="str">
        <x:v>https://github.com/rmcelreath/stat_rethinking_2024</x:v>
      </x:c>
      <x:c r="H660" s="14" t="str">
        <x:v>F08；H10；K02；O06</x:v>
      </x:c>
      <x:c r="I660" s="14" t="str">
        <x:v>Richard McElreath</x:v>
      </x:c>
      <x:c r="J660" s="18" t="str"/>
      <x:c r="K660" s="14" t="str">
        <x:v>教学</x:v>
      </x:c>
      <x:c r="L660" s="14" t="str">
        <x:v>选读</x:v>
      </x:c>
      <x:c r="M660" s="14" t="str">
        <x:v>以网页课程、在线章节或项目文档形式提供。</x:v>
      </x:c>
      <x:c r="N660" s="14" t="str">
        <x:v>打开官方入口，使用站点提供的下载功能；网页教程可继续在线使用。</x:v>
      </x:c>
      <x:c r="O660" s="14" t="str">
        <x:v>建模、先验预测、后验预测及多层收缩；仓库含课程材料。</x:v>
      </x:c>
      <x:c r="P660" s="14" t="str"/>
      <x:c r="Q660" s="14" t="str"/>
      <x:c r="R660" s="17"/>
      <x:c r="S660" s="14" t="str"/>
      <x:c r="T660" s="14" t="str"/>
      <x:c r="U660" s="19" t="n">
        <x:v>46303</x:v>
      </x:c>
    </x:row>
    <x:row r="661" ht="68" customHeight="1">
      <x:c r="A661" s="14" t="str">
        <x:v>D-F78D5009</x:v>
      </x:c>
      <x:c r="B661" s="14" t="str">
        <x:v>在线阅读</x:v>
      </x:c>
      <x:c r="C661" s="14" t="str">
        <x:v>Causal Inference: The Remix</x:v>
      </x:c>
      <x:c r="D661" s="14" t="str">
        <x:v>英文</x:v>
      </x:c>
      <x:c r="E661" s="15" t="str">
        <x:v>未处理</x:v>
      </x:c>
      <x:c r="F661" s="15" t="str"/>
      <x:c r="G661" s="16" t="str">
        <x:v>https://mixtape.scunning.com/</x:v>
      </x:c>
      <x:c r="H661" s="14" t="str">
        <x:v>G01；G02；G03；G04；G05；G06；G07；G08；G09；G10；G11；G12；G13；G14；G15</x:v>
      </x:c>
      <x:c r="I661" s="14" t="str">
        <x:v>Scott Cunningham</x:v>
      </x:c>
      <x:c r="J661" s="18" t="str"/>
      <x:c r="K661" s="14" t="str">
        <x:v>教材 / 说明书 / 网页</x:v>
      </x:c>
      <x:c r="L661" s="14" t="str">
        <x:v>选读</x:v>
      </x:c>
      <x:c r="M661" s="14" t="str">
        <x:v>以网页课程、在线章节或项目文档形式提供。</x:v>
      </x:c>
      <x:c r="N661" s="14" t="str">
        <x:v>打开官方入口，使用站点提供的下载功能；网页教程可继续在线使用。</x:v>
      </x:c>
      <x:c r="O661" s="14" t="str">
        <x:v>面向社会科学的 R/Stata 代码、数据和章末练习。</x:v>
      </x:c>
      <x:c r="P661" s="14" t="str"/>
      <x:c r="Q661" s="14" t="str"/>
      <x:c r="R661" s="17"/>
      <x:c r="S661" s="14" t="str"/>
      <x:c r="T661" s="14" t="str"/>
      <x:c r="U661" s="19" t="n">
        <x:v>46303</x:v>
      </x:c>
    </x:row>
    <x:row r="662" ht="68" customHeight="1">
      <x:c r="A662" s="14" t="str">
        <x:v>D-65A354CA</x:v>
      </x:c>
      <x:c r="B662" s="14" t="str">
        <x:v>在线阅读</x:v>
      </x:c>
      <x:c r="C662" s="14" t="str">
        <x:v>Causal Inference: What If · 作者开放教材与配套数据</x:v>
      </x:c>
      <x:c r="D662" s="14" t="str">
        <x:v>英文</x:v>
      </x:c>
      <x:c r="E662" s="15" t="str">
        <x:v>未处理</x:v>
      </x:c>
      <x:c r="F662" s="15" t="str"/>
      <x:c r="G662" s="16" t="str">
        <x:v>https://miguelhernan.org/whatifbook</x:v>
      </x:c>
      <x:c r="H662" s="14" t="str">
        <x:v>G01；G02；G03；G04；G05；G06；G07；G08；G09；G10；G11；G12；G13；G14；G15；G16；G17；G18；G19；H12；O04</x:v>
      </x:c>
      <x:c r="I662" s="14" t="str">
        <x:v>Miguel A. Hernán; James M. Robins</x:v>
      </x:c>
      <x:c r="J662" s="18" t="str"/>
      <x:c r="K662" s="14" t="str">
        <x:v>教学</x:v>
      </x:c>
      <x:c r="L662" s="14" t="str">
        <x:v>选读</x:v>
      </x:c>
      <x:c r="M662" s="14" t="str">
        <x:v>以网页课程、在线章节或项目文档形式提供。</x:v>
      </x:c>
      <x:c r="N662" s="14" t="str">
        <x:v>打开官方入口，使用站点提供的下载功能；网页教程可继续在线使用。</x:v>
      </x:c>
      <x:c r="O662" s="14" t="str">
        <x:v>第 I 部分：潜在结果、交换性、正值性与一致性；当前作者页提供最新教材、代码和数据。</x:v>
      </x:c>
      <x:c r="P662" s="14" t="str"/>
      <x:c r="Q662" s="14" t="str"/>
      <x:c r="R662" s="17"/>
      <x:c r="S662" s="14" t="str"/>
      <x:c r="T662" s="14" t="str"/>
      <x:c r="U662" s="19" t="n">
        <x:v>46303</x:v>
      </x:c>
    </x:row>
    <x:row r="663" ht="68" customHeight="1">
      <x:c r="A663" s="14" t="str">
        <x:v>D-4F38CAB9</x:v>
      </x:c>
      <x:c r="B663" s="14" t="str">
        <x:v>在线阅读</x:v>
      </x:c>
      <x:c r="C663" s="14" t="str">
        <x:v>dagitty 学习页</x:v>
      </x:c>
      <x:c r="D663" s="14" t="str">
        <x:v>英文</x:v>
      </x:c>
      <x:c r="E663" s="15" t="str">
        <x:v>未处理</x:v>
      </x:c>
      <x:c r="F663" s="15" t="str"/>
      <x:c r="G663" s="16" t="str">
        <x:v>http://dagitty.net/learn/</x:v>
      </x:c>
      <x:c r="H663" s="14" t="str">
        <x:v>G01；G02；G03；G04；G05；G06；G07；G08；G09；G10；G11；G12；G13；G14；G15；M16</x:v>
      </x:c>
      <x:c r="I663" s="14" t="str">
        <x:v>方法/软件项目</x:v>
      </x:c>
      <x:c r="J663" s="18" t="str"/>
      <x:c r="K663" s="14" t="str">
        <x:v>教材 / 说明书 / 网页</x:v>
      </x:c>
      <x:c r="L663" s="14" t="str">
        <x:v>选读</x:v>
      </x:c>
      <x:c r="M663" s="14" t="str">
        <x:v>以网页课程、在线章节或项目文档形式提供。</x:v>
      </x:c>
      <x:c r="N663" s="14" t="str">
        <x:v>打开官方入口，使用站点提供的下载功能；网页教程可继续在线使用。</x:v>
      </x:c>
      <x:c r="O663" s="14" t="str">
        <x:v>本条目的方法说明、参数、示例或诊断入口。</x:v>
      </x:c>
      <x:c r="P663" s="14" t="str"/>
      <x:c r="Q663" s="14" t="str"/>
      <x:c r="R663" s="17"/>
      <x:c r="S663" s="14" t="str"/>
      <x:c r="T663" s="14" t="str"/>
      <x:c r="U663" s="19" t="n">
        <x:v>46303</x:v>
      </x:c>
    </x:row>
    <x:row r="664" ht="68" customHeight="1">
      <x:c r="A664" s="14" t="str">
        <x:v>D-9EEBC095</x:v>
      </x:c>
      <x:c r="B664" s="14" t="str">
        <x:v>在线阅读</x:v>
      </x:c>
      <x:c r="C664" s="14" t="str">
        <x:v>DoWhy（Python 因果推断框架）</x:v>
      </x:c>
      <x:c r="D664" s="14" t="str">
        <x:v>英文</x:v>
      </x:c>
      <x:c r="E664" s="15" t="str">
        <x:v>未处理</x:v>
      </x:c>
      <x:c r="F664" s="15" t="str"/>
      <x:c r="G664" s="16" t="str">
        <x:v>https://www.pywhy.org/dowhy/</x:v>
      </x:c>
      <x:c r="H664" s="14" t="str">
        <x:v>G02</x:v>
      </x:c>
      <x:c r="I664" s="14" t="str">
        <x:v>www.pywhy.org</x:v>
      </x:c>
      <x:c r="J664" s="18" t="str"/>
      <x:c r="K664" s="14" t="str">
        <x:v>教材 / 说明书 / 网页</x:v>
      </x:c>
      <x:c r="L664" s="14" t="str">
        <x:v>选读</x:v>
      </x:c>
      <x:c r="M664" s="14" t="str">
        <x:v>以网页课程、在线章节或项目文档形式提供。</x:v>
      </x:c>
      <x:c r="N664" s="14" t="str">
        <x:v>打开官方入口，使用站点提供的下载功能；网页教程可继续在线使用。</x:v>
      </x:c>
      <x:c r="O664" s="14" t="str">
        <x:v>官方说明与使用示例。</x:v>
      </x:c>
      <x:c r="P664" s="14" t="str"/>
      <x:c r="Q664" s="14" t="str"/>
      <x:c r="R664" s="17"/>
      <x:c r="S664" s="14" t="str"/>
      <x:c r="T664" s="14" t="str"/>
      <x:c r="U664" s="19" t="n">
        <x:v>46303</x:v>
      </x:c>
    </x:row>
    <x:row r="665" ht="68" customHeight="1">
      <x:c r="A665" s="14" t="str">
        <x:v>D-86EEB594</x:v>
      </x:c>
      <x:c r="B665" s="14" t="str">
        <x:v>在线阅读</x:v>
      </x:c>
      <x:c r="C665" s="14" t="str">
        <x:v>ggdag 包（R 中画 DAG）</x:v>
      </x:c>
      <x:c r="D665" s="14" t="str">
        <x:v>英文</x:v>
      </x:c>
      <x:c r="E665" s="15" t="str">
        <x:v>未处理</x:v>
      </x:c>
      <x:c r="F665" s="15" t="str"/>
      <x:c r="G665" s="16" t="str">
        <x:v>https://r-causal.github.io/ggdag/</x:v>
      </x:c>
      <x:c r="H665" s="14" t="str">
        <x:v>G02；M16</x:v>
      </x:c>
      <x:c r="I665" s="14" t="str">
        <x:v>方法/软件项目</x:v>
      </x:c>
      <x:c r="J665" s="18" t="str"/>
      <x:c r="K665" s="14" t="str">
        <x:v>教材 / 说明书 / 网页</x:v>
      </x:c>
      <x:c r="L665" s="14" t="str">
        <x:v>选读</x:v>
      </x:c>
      <x:c r="M665" s="14" t="str">
        <x:v>以网页课程、在线章节或项目文档形式提供。</x:v>
      </x:c>
      <x:c r="N665" s="14" t="str">
        <x:v>打开官方入口，使用站点提供的下载功能；网页教程可继续在线使用。</x:v>
      </x:c>
      <x:c r="O665" s="14" t="str">
        <x:v>本条目的方法说明、参数、示例或诊断入口。</x:v>
      </x:c>
      <x:c r="P665" s="14" t="str"/>
      <x:c r="Q665" s="14" t="str"/>
      <x:c r="R665" s="17"/>
      <x:c r="S665" s="14" t="str"/>
      <x:c r="T665" s="14" t="str"/>
      <x:c r="U665" s="19" t="n">
        <x:v>46303</x:v>
      </x:c>
    </x:row>
    <x:row r="666" ht="68" customHeight="1">
      <x:c r="A666" s="14" t="str">
        <x:v>D-48D31467</x:v>
      </x:c>
      <x:c r="B666" s="14" t="str">
        <x:v>在线阅读</x:v>
      </x:c>
      <x:c r="C666" s="14" t="str">
        <x:v>MatchIt 官方文档与 vignette</x:v>
      </x:c>
      <x:c r="D666" s="14" t="str">
        <x:v>英文</x:v>
      </x:c>
      <x:c r="E666" s="15" t="str">
        <x:v>未处理</x:v>
      </x:c>
      <x:c r="F666" s="15" t="str"/>
      <x:c r="G666" s="16" t="str">
        <x:v>https://kosukeimai.github.io/MatchIt/</x:v>
      </x:c>
      <x:c r="H666" s="14" t="str">
        <x:v>G03</x:v>
      </x:c>
      <x:c r="I666" s="14" t="str">
        <x:v>方法/软件项目</x:v>
      </x:c>
      <x:c r="J666" s="18" t="str"/>
      <x:c r="K666" s="14" t="str">
        <x:v>教材 / 说明书 / 网页</x:v>
      </x:c>
      <x:c r="L666" s="14" t="str">
        <x:v>选读</x:v>
      </x:c>
      <x:c r="M666" s="14" t="str">
        <x:v>以网页课程、在线章节或项目文档形式提供。</x:v>
      </x:c>
      <x:c r="N666" s="14" t="str">
        <x:v>打开官方入口，使用站点提供的下载功能；网页教程可继续在线使用。</x:v>
      </x:c>
      <x:c r="O666" s="14" t="str">
        <x:v>本条目的方法说明、参数、示例或诊断入口。</x:v>
      </x:c>
      <x:c r="P666" s="14" t="str"/>
      <x:c r="Q666" s="14" t="str"/>
      <x:c r="R666" s="17"/>
      <x:c r="S666" s="14" t="str"/>
      <x:c r="T666" s="14" t="str"/>
      <x:c r="U666" s="19" t="n">
        <x:v>46303</x:v>
      </x:c>
    </x:row>
    <x:row r="667" ht="68" customHeight="1">
      <x:c r="A667" s="14" t="str">
        <x:v>D-0FB1A880</x:v>
      </x:c>
      <x:c r="B667" s="14" t="str">
        <x:v>在线阅读</x:v>
      </x:c>
      <x:c r="C667" s="14" t="str">
        <x:v>The Effect 第 14 章（匹配）</x:v>
      </x:c>
      <x:c r="D667" s="14" t="str">
        <x:v>英文</x:v>
      </x:c>
      <x:c r="E667" s="15" t="str">
        <x:v>未处理</x:v>
      </x:c>
      <x:c r="F667" s="15" t="str"/>
      <x:c r="G667" s="16" t="str">
        <x:v>https://theeffectbook.net/ch-Matching.html</x:v>
      </x:c>
      <x:c r="H667" s="14" t="str">
        <x:v>G03</x:v>
      </x:c>
      <x:c r="I667" s="14" t="str">
        <x:v>Nick Huntington-Klein</x:v>
      </x:c>
      <x:c r="J667" s="18" t="str"/>
      <x:c r="K667" s="14" t="str">
        <x:v>教材 / 说明书 / 网页</x:v>
      </x:c>
      <x:c r="L667" s="14" t="str">
        <x:v>选读</x:v>
      </x:c>
      <x:c r="M667" s="14" t="str">
        <x:v>以网页课程、在线章节或项目文档形式提供。</x:v>
      </x:c>
      <x:c r="N667" s="14" t="str">
        <x:v>打开官方入口，使用站点提供的下载功能；网页教程可继续在线使用。</x:v>
      </x:c>
      <x:c r="O667" s="14" t="str">
        <x:v>免费在线教材，直觉建立</x:v>
      </x:c>
      <x:c r="P667" s="14" t="str"/>
      <x:c r="Q667" s="14" t="str"/>
      <x:c r="R667" s="17"/>
      <x:c r="S667" s="14" t="str"/>
      <x:c r="T667" s="14" t="str"/>
      <x:c r="U667" s="19" t="n">
        <x:v>46303</x:v>
      </x:c>
    </x:row>
    <x:row r="668" ht="68" customHeight="1">
      <x:c r="A668" s="14" t="str">
        <x:v>D-8FB52D18</x:v>
      </x:c>
      <x:c r="B668" s="14" t="str">
        <x:v>在线阅读</x:v>
      </x:c>
      <x:c r="C668" s="14" t="str">
        <x:v>cobalt（平衡诊断，love plot）</x:v>
      </x:c>
      <x:c r="D668" s="14" t="str">
        <x:v>英文</x:v>
      </x:c>
      <x:c r="E668" s="15" t="str">
        <x:v>未处理</x:v>
      </x:c>
      <x:c r="F668" s="15" t="str"/>
      <x:c r="G668" s="16" t="str">
        <x:v>https://ngreifer.github.io/cobalt/</x:v>
      </x:c>
      <x:c r="H668" s="14" t="str">
        <x:v>G03；G04</x:v>
      </x:c>
      <x:c r="I668" s="14" t="str">
        <x:v>方法/软件项目</x:v>
      </x:c>
      <x:c r="J668" s="18" t="str"/>
      <x:c r="K668" s="14" t="str">
        <x:v>教材 / 说明书 / 网页</x:v>
      </x:c>
      <x:c r="L668" s="14" t="str">
        <x:v>选读</x:v>
      </x:c>
      <x:c r="M668" s="14" t="str">
        <x:v>以网页课程、在线章节或项目文档形式提供。</x:v>
      </x:c>
      <x:c r="N668" s="14" t="str">
        <x:v>打开官方入口，使用站点提供的下载功能；网页教程可继续在线使用。</x:v>
      </x:c>
      <x:c r="O668" s="14" t="str">
        <x:v>本条目的方法说明、参数、示例或诊断入口。</x:v>
      </x:c>
      <x:c r="P668" s="14" t="str"/>
      <x:c r="Q668" s="14" t="str"/>
      <x:c r="R668" s="17"/>
      <x:c r="S668" s="14" t="str"/>
      <x:c r="T668" s="14" t="str"/>
      <x:c r="U668" s="19" t="n">
        <x:v>46303</x:v>
      </x:c>
    </x:row>
    <x:row r="669" ht="68" customHeight="1">
      <x:c r="A669" s="14" t="str">
        <x:v>D-51400949</x:v>
      </x:c>
      <x:c r="B669" s="14" t="str">
        <x:v>在线阅读</x:v>
      </x:c>
      <x:c r="C669" s="14" t="str">
        <x:v>WeightIt（各种加权方法）</x:v>
      </x:c>
      <x:c r="D669" s="14" t="str">
        <x:v>英文</x:v>
      </x:c>
      <x:c r="E669" s="15" t="str">
        <x:v>未处理</x:v>
      </x:c>
      <x:c r="F669" s="15" t="str"/>
      <x:c r="G669" s="16" t="str">
        <x:v>https://ngreifer.github.io/WeightIt/</x:v>
      </x:c>
      <x:c r="H669" s="14" t="str">
        <x:v>G03；G04</x:v>
      </x:c>
      <x:c r="I669" s="14" t="str">
        <x:v>方法/软件项目</x:v>
      </x:c>
      <x:c r="J669" s="18" t="str"/>
      <x:c r="K669" s="14" t="str">
        <x:v>教材 / 说明书 / 网页</x:v>
      </x:c>
      <x:c r="L669" s="14" t="str">
        <x:v>选读</x:v>
      </x:c>
      <x:c r="M669" s="14" t="str">
        <x:v>以网页课程、在线章节或项目文档形式提供。</x:v>
      </x:c>
      <x:c r="N669" s="14" t="str">
        <x:v>打开官方入口，使用站点提供的下载功能；网页教程可继续在线使用。</x:v>
      </x:c>
      <x:c r="O669" s="14" t="str">
        <x:v>本条目的方法说明、参数、示例或诊断入口。</x:v>
      </x:c>
      <x:c r="P669" s="14" t="str"/>
      <x:c r="Q669" s="14" t="str"/>
      <x:c r="R669" s="17"/>
      <x:c r="S669" s="14" t="str"/>
      <x:c r="T669" s="14" t="str"/>
      <x:c r="U669" s="19" t="n">
        <x:v>46303</x:v>
      </x:c>
    </x:row>
    <x:row r="670" ht="68" customHeight="1">
      <x:c r="A670" s="14" t="str">
        <x:v>D-948D11BE</x:v>
      </x:c>
      <x:c r="B670" s="14" t="str">
        <x:v>在线阅读</x:v>
      </x:c>
      <x:c r="C670" s="14" t="str">
        <x:v>EValue 在线计算器</x:v>
      </x:c>
      <x:c r="D670" s="14" t="str">
        <x:v>英文</x:v>
      </x:c>
      <x:c r="E670" s="15" t="str">
        <x:v>未处理</x:v>
      </x:c>
      <x:c r="F670" s="15" t="str"/>
      <x:c r="G670" s="16" t="str">
        <x:v>https://www.evalue-calculator.com/</x:v>
      </x:c>
      <x:c r="H670" s="14" t="str">
        <x:v>G03；G12</x:v>
      </x:c>
      <x:c r="I670" s="14" t="str">
        <x:v>www.evalue-calculator.com</x:v>
      </x:c>
      <x:c r="J670" s="18" t="str"/>
      <x:c r="K670" s="14" t="str">
        <x:v>教材 / 说明书 / 网页</x:v>
      </x:c>
      <x:c r="L670" s="14" t="str">
        <x:v>选读</x:v>
      </x:c>
      <x:c r="M670" s="14" t="str">
        <x:v>以网页课程、在线章节或项目文档形式提供。</x:v>
      </x:c>
      <x:c r="N670" s="14" t="str">
        <x:v>打开官方入口，使用站点提供的下载功能；网页教程可继续在线使用。</x:v>
      </x:c>
      <x:c r="O670" s="14" t="str">
        <x:v>官方说明与使用示例。</x:v>
      </x:c>
      <x:c r="P670" s="14" t="str"/>
      <x:c r="Q670" s="14" t="str"/>
      <x:c r="R670" s="17"/>
      <x:c r="S670" s="14" t="str"/>
      <x:c r="T670" s="14" t="str"/>
      <x:c r="U670" s="19" t="n">
        <x:v>46303</x:v>
      </x:c>
    </x:row>
    <x:row r="671" ht="68" customHeight="1">
      <x:c r="A671" s="14" t="str">
        <x:v>D-B07934E1</x:v>
      </x:c>
      <x:c r="B671" s="14" t="str">
        <x:v>在线阅读</x:v>
      </x:c>
      <x:c r="C671" s="14" t="str">
        <x:v>MatchIt 官方仓库（CEM 等匹配方法）</x:v>
      </x:c>
      <x:c r="D671" s="14" t="str">
        <x:v>英文</x:v>
      </x:c>
      <x:c r="E671" s="15" t="str">
        <x:v>未处理</x:v>
      </x:c>
      <x:c r="F671" s="15" t="str"/>
      <x:c r="G671" s="16" t="str">
        <x:v>https://github.com/kosukeimai/MatchIt</x:v>
      </x:c>
      <x:c r="H671" s="14" t="str">
        <x:v>G04</x:v>
      </x:c>
      <x:c r="I671" s="14" t="str">
        <x:v>方法/软件项目</x:v>
      </x:c>
      <x:c r="J671" s="18" t="str"/>
      <x:c r="K671" s="14" t="str">
        <x:v>教材 / 说明书 / 网页</x:v>
      </x:c>
      <x:c r="L671" s="14" t="str">
        <x:v>选读</x:v>
      </x:c>
      <x:c r="M671" s="14" t="str">
        <x:v>以网页课程、在线章节或项目文档形式提供。</x:v>
      </x:c>
      <x:c r="N671" s="14" t="str">
        <x:v>打开官方入口，使用站点提供的下载功能；网页教程可继续在线使用。</x:v>
      </x:c>
      <x:c r="O671" s="14" t="str">
        <x:v>本条目的方法说明、参数、示例或诊断入口。</x:v>
      </x:c>
      <x:c r="P671" s="14" t="str"/>
      <x:c r="Q671" s="14" t="str"/>
      <x:c r="R671" s="17"/>
      <x:c r="S671" s="14" t="str"/>
      <x:c r="T671" s="14" t="str"/>
      <x:c r="U671" s="19" t="n">
        <x:v>46303</x:v>
      </x:c>
    </x:row>
    <x:row r="672" ht="68" customHeight="1">
      <x:c r="A672" s="14" t="str">
        <x:v>D-55A0D407</x:v>
      </x:c>
      <x:c r="B672" s="14" t="str">
        <x:v>在线阅读</x:v>
      </x:c>
      <x:c r="C672" s="14" t="str">
        <x:v>ivreg 官方文档</x:v>
      </x:c>
      <x:c r="D672" s="14" t="str">
        <x:v>英文</x:v>
      </x:c>
      <x:c r="E672" s="15" t="str">
        <x:v>未处理</x:v>
      </x:c>
      <x:c r="F672" s="15" t="str"/>
      <x:c r="G672" s="16" t="str">
        <x:v>https://zeileis.github.io/ivreg/</x:v>
      </x:c>
      <x:c r="H672" s="14" t="str">
        <x:v>G05</x:v>
      </x:c>
      <x:c r="I672" s="14" t="str">
        <x:v>方法/软件项目</x:v>
      </x:c>
      <x:c r="J672" s="18" t="str"/>
      <x:c r="K672" s="14" t="str">
        <x:v>教材 / 说明书 / 网页</x:v>
      </x:c>
      <x:c r="L672" s="14" t="str">
        <x:v>选读</x:v>
      </x:c>
      <x:c r="M672" s="14" t="str">
        <x:v>以网页课程、在线章节或项目文档形式提供。</x:v>
      </x:c>
      <x:c r="N672" s="14" t="str">
        <x:v>打开官方入口，使用站点提供的下载功能；网页教程可继续在线使用。</x:v>
      </x:c>
      <x:c r="O672" s="14" t="str">
        <x:v>本条目的方法说明、参数、示例或诊断入口。</x:v>
      </x:c>
      <x:c r="P672" s="14" t="str"/>
      <x:c r="Q672" s="14" t="str"/>
      <x:c r="R672" s="17"/>
      <x:c r="S672" s="14" t="str"/>
      <x:c r="T672" s="14" t="str"/>
      <x:c r="U672" s="19" t="n">
        <x:v>46303</x:v>
      </x:c>
    </x:row>
    <x:row r="673" ht="68" customHeight="1">
      <x:c r="A673" s="14" t="str">
        <x:v>D-C36EF8AC</x:v>
      </x:c>
      <x:c r="B673" s="14" t="str">
        <x:v>在线阅读</x:v>
      </x:c>
      <x:c r="C673" s="14" t="str">
        <x:v>TwoSampleMR 官方文档</x:v>
      </x:c>
      <x:c r="D673" s="14" t="str">
        <x:v>英文</x:v>
      </x:c>
      <x:c r="E673" s="15" t="str">
        <x:v>未处理</x:v>
      </x:c>
      <x:c r="F673" s="15" t="str"/>
      <x:c r="G673" s="16" t="str">
        <x:v>https://mrcieu.github.io/TwoSampleMR/</x:v>
      </x:c>
      <x:c r="H673" s="14" t="str">
        <x:v>G05</x:v>
      </x:c>
      <x:c r="I673" s="14" t="str">
        <x:v>方法/软件项目</x:v>
      </x:c>
      <x:c r="J673" s="18" t="str"/>
      <x:c r="K673" s="14" t="str">
        <x:v>教材 / 说明书 / 网页</x:v>
      </x:c>
      <x:c r="L673" s="14" t="str">
        <x:v>选读</x:v>
      </x:c>
      <x:c r="M673" s="14" t="str">
        <x:v>以网页课程、在线章节或项目文档形式提供。</x:v>
      </x:c>
      <x:c r="N673" s="14" t="str">
        <x:v>打开官方入口，使用站点提供的下载功能；网页教程可继续在线使用。</x:v>
      </x:c>
      <x:c r="O673" s="14" t="str">
        <x:v>本条目的方法说明、参数、示例或诊断入口。</x:v>
      </x:c>
      <x:c r="P673" s="14" t="str"/>
      <x:c r="Q673" s="14" t="str"/>
      <x:c r="R673" s="17"/>
      <x:c r="S673" s="14" t="str"/>
      <x:c r="T673" s="14" t="str"/>
      <x:c r="U673" s="19" t="n">
        <x:v>46303</x:v>
      </x:c>
    </x:row>
    <x:row r="674" ht="68" customHeight="1">
      <x:c r="A674" s="14" t="str">
        <x:v>D-587D52E8</x:v>
      </x:c>
      <x:c r="B674" s="14" t="str">
        <x:v>在线阅读</x:v>
      </x:c>
      <x:c r="C674" s="14" t="str">
        <x:v>Mixtape Sessions 因果推断工作坊课件与代码</x:v>
      </x:c>
      <x:c r="D674" s="14" t="str">
        <x:v>英文</x:v>
      </x:c>
      <x:c r="E674" s="15" t="str">
        <x:v>未处理</x:v>
      </x:c>
      <x:c r="F674" s="15" t="str"/>
      <x:c r="G674" s="16" t="str">
        <x:v>https://github.com/Mixtape-Sessions</x:v>
      </x:c>
      <x:c r="H674" s="14" t="str">
        <x:v>G05；G09</x:v>
      </x:c>
      <x:c r="I674" s="14" t="str">
        <x:v>Scott Cunningham 等</x:v>
      </x:c>
      <x:c r="J674" s="18" t="str"/>
      <x:c r="K674" s="14" t="str">
        <x:v>教材 / 说明书 / 网页</x:v>
      </x:c>
      <x:c r="L674" s="14" t="str">
        <x:v>选读</x:v>
      </x:c>
      <x:c r="M674" s="14" t="str">
        <x:v>以网页课程、在线章节或项目文档形式提供。</x:v>
      </x:c>
      <x:c r="N674" s="14" t="str">
        <x:v>打开官方入口，使用站点提供的下载功能；网页教程可继续在线使用。</x:v>
      </x:c>
      <x:c r="O674" s="14" t="str">
        <x:v>工作坊的幻灯片、代码、数据在 GitHub 上全部免费开放，IV 部分含弱工具的模拟演示</x:v>
      </x:c>
      <x:c r="P674" s="14" t="str"/>
      <x:c r="Q674" s="14" t="str"/>
      <x:c r="R674" s="17"/>
      <x:c r="S674" s="14" t="str"/>
      <x:c r="T674" s="14" t="str"/>
      <x:c r="U674" s="19" t="n">
        <x:v>46303</x:v>
      </x:c>
    </x:row>
    <x:row r="675" ht="68" customHeight="1">
      <x:c r="A675" s="14" t="str">
        <x:v>D-B06776AF</x:v>
      </x:c>
      <x:c r="B675" s="14" t="str">
        <x:v>在线阅读</x:v>
      </x:c>
      <x:c r="C675" s="14" t="str">
        <x:v>RDD 讲座</x:v>
      </x:c>
      <x:c r="D675" s="14" t="str">
        <x:v>英文</x:v>
      </x:c>
      <x:c r="E675" s="15" t="str">
        <x:v>未处理</x:v>
      </x:c>
      <x:c r="F675" s="15" t="str"/>
      <x:c r="G675" s="16" t="str">
        <x:v>https://mixtape.scunning.com/06-regression_discontinuity</x:v>
      </x:c>
      <x:c r="H675" s="14" t="str">
        <x:v>G06</x:v>
      </x:c>
      <x:c r="I675" s="14" t="str">
        <x:v>Scott Cunningham（The Mixtape 配套）</x:v>
      </x:c>
      <x:c r="J675" s="18" t="str"/>
      <x:c r="K675" s="14" t="str">
        <x:v>教材 / 说明书 / 网页</x:v>
      </x:c>
      <x:c r="L675" s="14" t="str">
        <x:v>选读</x:v>
      </x:c>
      <x:c r="M675" s="14" t="str">
        <x:v>以网页课程、在线章节或项目文档形式提供。</x:v>
      </x:c>
      <x:c r="N675" s="14" t="str">
        <x:v>打开官方入口，使用站点提供的下载功能；网页教程可继续在线使用。</x:v>
      </x:c>
      <x:c r="O675" s="14" t="str">
        <x:v>含代码演示</x:v>
      </x:c>
      <x:c r="P675" s="14" t="str"/>
      <x:c r="Q675" s="14" t="str"/>
      <x:c r="R675" s="17"/>
      <x:c r="S675" s="14" t="str"/>
      <x:c r="T675" s="14" t="str"/>
      <x:c r="U675" s="19" t="n">
        <x:v>46303</x:v>
      </x:c>
    </x:row>
    <x:row r="676" ht="68" customHeight="1">
      <x:c r="A676" s="14" t="str">
        <x:v>D-89875233</x:v>
      </x:c>
      <x:c r="B676" s="14" t="str">
        <x:v>在线阅读</x:v>
      </x:c>
      <x:c r="C676" s="14" t="str">
        <x:v>rdpackages 官方站（含免费教材与复现数据）</x:v>
      </x:c>
      <x:c r="D676" s="14" t="str">
        <x:v>英文</x:v>
      </x:c>
      <x:c r="E676" s="15" t="str">
        <x:v>未处理</x:v>
      </x:c>
      <x:c r="F676" s="15" t="str"/>
      <x:c r="G676" s="16" t="str">
        <x:v>https://rdpackages.github.io/</x:v>
      </x:c>
      <x:c r="H676" s="14" t="str">
        <x:v>G06</x:v>
      </x:c>
      <x:c r="I676" s="14" t="str">
        <x:v>方法/软件项目</x:v>
      </x:c>
      <x:c r="J676" s="18" t="str"/>
      <x:c r="K676" s="14" t="str">
        <x:v>教材 / 说明书 / 网页</x:v>
      </x:c>
      <x:c r="L676" s="14" t="str">
        <x:v>选读</x:v>
      </x:c>
      <x:c r="M676" s="14" t="str">
        <x:v>以网页课程、在线章节或项目文档形式提供。</x:v>
      </x:c>
      <x:c r="N676" s="14" t="str">
        <x:v>打开官方入口，使用站点提供的下载功能；网页教程可继续在线使用。</x:v>
      </x:c>
      <x:c r="O676" s="14" t="str">
        <x:v>本条目的方法说明、参数、示例或诊断入口。</x:v>
      </x:c>
      <x:c r="P676" s="14" t="str"/>
      <x:c r="Q676" s="14" t="str"/>
      <x:c r="R676" s="17"/>
      <x:c r="S676" s="14" t="str"/>
      <x:c r="T676" s="14" t="str"/>
      <x:c r="U676" s="19" t="n">
        <x:v>46303</x:v>
      </x:c>
    </x:row>
    <x:row r="677" ht="68" customHeight="1">
      <x:c r="A677" s="14" t="str">
        <x:v>D-203FF6DD</x:v>
      </x:c>
      <x:c r="B677" s="14" t="str">
        <x:v>在线阅读</x:v>
      </x:c>
      <x:c r="C677" s="14" t="str">
        <x:v>rdrobust R 包</x:v>
      </x:c>
      <x:c r="D677" s="14" t="str">
        <x:v>英文</x:v>
      </x:c>
      <x:c r="E677" s="15" t="str">
        <x:v>未处理</x:v>
      </x:c>
      <x:c r="F677" s="15" t="str"/>
      <x:c r="G677" s="16" t="str">
        <x:v>https://cran.r-project.org/package=rdrobust</x:v>
      </x:c>
      <x:c r="H677" s="14" t="str">
        <x:v>G06</x:v>
      </x:c>
      <x:c r="I677" s="14" t="str">
        <x:v>方法/软件项目</x:v>
      </x:c>
      <x:c r="J677" s="18" t="str"/>
      <x:c r="K677" s="14" t="str">
        <x:v>教材 / 说明书 / 网页</x:v>
      </x:c>
      <x:c r="L677" s="14" t="str">
        <x:v>选读</x:v>
      </x:c>
      <x:c r="M677" s="14" t="str">
        <x:v>以网页课程、在线章节或项目文档形式提供。</x:v>
      </x:c>
      <x:c r="N677" s="14" t="str">
        <x:v>打开官方入口，使用站点提供的下载功能；网页教程可继续在线使用。</x:v>
      </x:c>
      <x:c r="O677" s="14" t="str">
        <x:v>本条目的方法说明、参数、示例或诊断入口。</x:v>
      </x:c>
      <x:c r="P677" s="14" t="str"/>
      <x:c r="Q677" s="14" t="str"/>
      <x:c r="R677" s="17"/>
      <x:c r="S677" s="14" t="str"/>
      <x:c r="T677" s="14" t="str"/>
      <x:c r="U677" s="19" t="n">
        <x:v>46303</x:v>
      </x:c>
    </x:row>
    <x:row r="678" ht="68" customHeight="1">
      <x:c r="A678" s="14" t="str">
        <x:v>D-E9B1BE2C</x:v>
      </x:c>
      <x:c r="B678" s="14" t="str">
        <x:v>在线阅读</x:v>
      </x:c>
      <x:c r="C678" s="14" t="str">
        <x:v>The Effect 断点回归章</x:v>
      </x:c>
      <x:c r="D678" s="14" t="str">
        <x:v>英文</x:v>
      </x:c>
      <x:c r="E678" s="15" t="str">
        <x:v>未处理</x:v>
      </x:c>
      <x:c r="F678" s="15" t="str"/>
      <x:c r="G678" s="16" t="str">
        <x:v>https://theeffectbook.net/ch-RegressionDiscontinuity.html</x:v>
      </x:c>
      <x:c r="H678" s="14" t="str">
        <x:v>G06</x:v>
      </x:c>
      <x:c r="I678" s="14" t="str">
        <x:v>方法/软件项目</x:v>
      </x:c>
      <x:c r="J678" s="18" t="str"/>
      <x:c r="K678" s="14" t="str">
        <x:v>教材 / 说明书 / 网页</x:v>
      </x:c>
      <x:c r="L678" s="14" t="str">
        <x:v>选读</x:v>
      </x:c>
      <x:c r="M678" s="14" t="str">
        <x:v>以网页课程、在线章节或项目文档形式提供。</x:v>
      </x:c>
      <x:c r="N678" s="14" t="str">
        <x:v>打开官方入口，使用站点提供的下载功能；网页教程可继续在线使用。</x:v>
      </x:c>
      <x:c r="O678" s="14" t="str">
        <x:v>本条目的方法说明、参数、示例或诊断入口。</x:v>
      </x:c>
      <x:c r="P678" s="14" t="str"/>
      <x:c r="Q678" s="14" t="str"/>
      <x:c r="R678" s="17"/>
      <x:c r="S678" s="14" t="str"/>
      <x:c r="T678" s="14" t="str"/>
      <x:c r="U678" s="19" t="n">
        <x:v>46303</x:v>
      </x:c>
    </x:row>
    <x:row r="679" ht="68" customHeight="1">
      <x:c r="A679" s="14" t="str">
        <x:v>D-2A226AD1</x:v>
      </x:c>
      <x:c r="B679" s="14" t="str">
        <x:v>在线阅读</x:v>
      </x:c>
      <x:c r="C679" s="14" t="str">
        <x:v>The Effect（免费在线教材，DiD 章）</x:v>
      </x:c>
      <x:c r="D679" s="14" t="str">
        <x:v>英文</x:v>
      </x:c>
      <x:c r="E679" s="15" t="str">
        <x:v>未处理</x:v>
      </x:c>
      <x:c r="F679" s="15" t="str"/>
      <x:c r="G679" s="16" t="str">
        <x:v>https://theeffectbook.net/ch-DifferenceinDifference.html</x:v>
      </x:c>
      <x:c r="H679" s="14" t="str">
        <x:v>G07</x:v>
      </x:c>
      <x:c r="I679" s="14" t="str">
        <x:v>方法/软件项目</x:v>
      </x:c>
      <x:c r="J679" s="18" t="str"/>
      <x:c r="K679" s="14" t="str">
        <x:v>教材 / 说明书 / 网页</x:v>
      </x:c>
      <x:c r="L679" s="14" t="str">
        <x:v>选读</x:v>
      </x:c>
      <x:c r="M679" s="14" t="str">
        <x:v>以网页课程、在线章节或项目文档形式提供。</x:v>
      </x:c>
      <x:c r="N679" s="14" t="str">
        <x:v>打开官方入口，使用站点提供的下载功能；网页教程可继续在线使用。</x:v>
      </x:c>
      <x:c r="O679" s="14" t="str">
        <x:v>本条目的方法说明、参数、示例或诊断入口。</x:v>
      </x:c>
      <x:c r="P679" s="14" t="str"/>
      <x:c r="Q679" s="14" t="str"/>
      <x:c r="R679" s="17"/>
      <x:c r="S679" s="14" t="str"/>
      <x:c r="T679" s="14" t="str"/>
      <x:c r="U679" s="19" t="n">
        <x:v>46303</x:v>
      </x:c>
    </x:row>
    <x:row r="680" ht="68" customHeight="1">
      <x:c r="A680" s="14" t="str">
        <x:v>D-36F55034</x:v>
      </x:c>
      <x:c r="B680" s="14" t="str">
        <x:v>在线阅读</x:v>
      </x:c>
      <x:c r="C680" s="14" t="str">
        <x:v>Modern DiD 讲座</x:v>
      </x:c>
      <x:c r="D680" s="14" t="str">
        <x:v>英文</x:v>
      </x:c>
      <x:c r="E680" s="15" t="str">
        <x:v>未处理</x:v>
      </x:c>
      <x:c r="F680" s="15" t="str"/>
      <x:c r="G680" s="16" t="str">
        <x:v>https://psantanna.com/</x:v>
      </x:c>
      <x:c r="H680" s="14" t="str">
        <x:v>G07；G08</x:v>
      </x:c>
      <x:c r="I680" s="14" t="str">
        <x:v>Pedro Sant'Anna（多场公开讲座 slides）</x:v>
      </x:c>
      <x:c r="J680" s="18" t="str"/>
      <x:c r="K680" s="14" t="str">
        <x:v>教材 / 说明书 / 网页</x:v>
      </x:c>
      <x:c r="L680" s="14" t="str">
        <x:v>选读</x:v>
      </x:c>
      <x:c r="M680" s="14" t="str">
        <x:v>以网页课程、在线章节或项目文档形式提供。</x:v>
      </x:c>
      <x:c r="N680" s="14" t="str">
        <x:v>打开官方入口，使用站点提供的下载功能；网页教程可继续在线使用。</x:v>
      </x:c>
      <x:c r="O680" s="14" t="str">
        <x:v>新旧估计量的差别讲得最清楚</x:v>
      </x:c>
      <x:c r="P680" s="14" t="str"/>
      <x:c r="Q680" s="14" t="str"/>
      <x:c r="R680" s="17"/>
      <x:c r="S680" s="14" t="str"/>
      <x:c r="T680" s="14" t="str"/>
      <x:c r="U680" s="19" t="n">
        <x:v>46303</x:v>
      </x:c>
    </x:row>
    <x:row r="681" ht="68" customHeight="1">
      <x:c r="A681" s="14" t="str">
        <x:v>D-6B2B0CAF</x:v>
      </x:c>
      <x:c r="B681" s="14" t="str">
        <x:v>在线阅读</x:v>
      </x:c>
      <x:c r="C681" s="14" t="str">
        <x:v>DiD Reading Group 系列</x:v>
      </x:c>
      <x:c r="D681" s="14" t="str">
        <x:v>英文</x:v>
      </x:c>
      <x:c r="E681" s="15" t="str">
        <x:v>未处理</x:v>
      </x:c>
      <x:c r="F681" s="15" t="str"/>
      <x:c r="G681" s="16" t="str">
        <x:v>https://www.jonathandroth.com/</x:v>
      </x:c>
      <x:c r="H681" s="14" t="str">
        <x:v>G08</x:v>
      </x:c>
      <x:c r="I681" s="14" t="str">
        <x:v>Jonathan Roth 等</x:v>
      </x:c>
      <x:c r="J681" s="18" t="str"/>
      <x:c r="K681" s="14" t="str">
        <x:v>教材 / 说明书 / 网页</x:v>
      </x:c>
      <x:c r="L681" s="14" t="str">
        <x:v>选读</x:v>
      </x:c>
      <x:c r="M681" s="14" t="str">
        <x:v>以网页课程、在线章节或项目文档形式提供。</x:v>
      </x:c>
      <x:c r="N681" s="14" t="str">
        <x:v>打开官方入口，使用站点提供的下载功能；网页教程可继续在线使用。</x:v>
      </x:c>
      <x:c r="O681" s="14" t="str">
        <x:v>综述论文配套的讲解</x:v>
      </x:c>
      <x:c r="P681" s="14" t="str"/>
      <x:c r="Q681" s="14" t="str"/>
      <x:c r="R681" s="17"/>
      <x:c r="S681" s="14" t="str"/>
      <x:c r="T681" s="14" t="str"/>
      <x:c r="U681" s="19" t="n">
        <x:v>46303</x:v>
      </x:c>
    </x:row>
    <x:row r="682" ht="68" customHeight="1">
      <x:c r="A682" s="14" t="str">
        <x:v>D-C0A6955F</x:v>
      </x:c>
      <x:c r="B682" s="14" t="str">
        <x:v>在线阅读</x:v>
      </x:c>
      <x:c r="C682" s="14" t="str">
        <x:v>did 包入门教程</x:v>
      </x:c>
      <x:c r="D682" s="14" t="str">
        <x:v>英文</x:v>
      </x:c>
      <x:c r="E682" s="15" t="str">
        <x:v>未处理</x:v>
      </x:c>
      <x:c r="F682" s="15" t="str"/>
      <x:c r="G682" s="16" t="str">
        <x:v>https://bcallaway11.github.io/did/articles/did-basics.html</x:v>
      </x:c>
      <x:c r="H682" s="14" t="str">
        <x:v>G08</x:v>
      </x:c>
      <x:c r="I682" s="14" t="str">
        <x:v>方法/软件项目</x:v>
      </x:c>
      <x:c r="J682" s="18" t="str"/>
      <x:c r="K682" s="14" t="str">
        <x:v>教材 / 说明书 / 网页</x:v>
      </x:c>
      <x:c r="L682" s="14" t="str">
        <x:v>选读</x:v>
      </x:c>
      <x:c r="M682" s="14" t="str">
        <x:v>以网页课程、在线章节或项目文档形式提供。</x:v>
      </x:c>
      <x:c r="N682" s="14" t="str">
        <x:v>打开官方入口，使用站点提供的下载功能；网页教程可继续在线使用。</x:v>
      </x:c>
      <x:c r="O682" s="14" t="str">
        <x:v>本条目的方法说明、参数、示例或诊断入口。</x:v>
      </x:c>
      <x:c r="P682" s="14" t="str"/>
      <x:c r="Q682" s="14" t="str"/>
      <x:c r="R682" s="17"/>
      <x:c r="S682" s="14" t="str"/>
      <x:c r="T682" s="14" t="str"/>
      <x:c r="U682" s="19" t="n">
        <x:v>46303</x:v>
      </x:c>
    </x:row>
    <x:row r="683" ht="68" customHeight="1">
      <x:c r="A683" s="14" t="str">
        <x:v>D-847046B2</x:v>
      </x:c>
      <x:c r="B683" s="14" t="str">
        <x:v>在线阅读</x:v>
      </x:c>
      <x:c r="C683" s="14" t="str">
        <x:v>did 包官方站（Callaway &amp; Sant'Anna）</x:v>
      </x:c>
      <x:c r="D683" s="14" t="str">
        <x:v>英文</x:v>
      </x:c>
      <x:c r="E683" s="15" t="str">
        <x:v>未处理</x:v>
      </x:c>
      <x:c r="F683" s="15" t="str"/>
      <x:c r="G683" s="16" t="str">
        <x:v>https://bcallaway11.github.io/did/</x:v>
      </x:c>
      <x:c r="H683" s="14" t="str">
        <x:v>G08</x:v>
      </x:c>
      <x:c r="I683" s="14" t="str">
        <x:v>方法/软件项目</x:v>
      </x:c>
      <x:c r="J683" s="18" t="str"/>
      <x:c r="K683" s="14" t="str">
        <x:v>教材 / 说明书 / 网页</x:v>
      </x:c>
      <x:c r="L683" s="14" t="str">
        <x:v>选读</x:v>
      </x:c>
      <x:c r="M683" s="14" t="str">
        <x:v>以网页课程、在线章节或项目文档形式提供。</x:v>
      </x:c>
      <x:c r="N683" s="14" t="str">
        <x:v>打开官方入口，使用站点提供的下载功能；网页教程可继续在线使用。</x:v>
      </x:c>
      <x:c r="O683" s="14" t="str">
        <x:v>本条目的方法说明、参数、示例或诊断入口。</x:v>
      </x:c>
      <x:c r="P683" s="14" t="str"/>
      <x:c r="Q683" s="14" t="str"/>
      <x:c r="R683" s="17"/>
      <x:c r="S683" s="14" t="str"/>
      <x:c r="T683" s="14" t="str"/>
      <x:c r="U683" s="19" t="n">
        <x:v>46303</x:v>
      </x:c>
    </x:row>
    <x:row r="684" ht="68" customHeight="1">
      <x:c r="A684" s="14" t="str">
        <x:v>D-1BD79289</x:v>
      </x:c>
      <x:c r="B684" s="14" t="str">
        <x:v>在线阅读</x:v>
      </x:c>
      <x:c r="C684" s="14" t="str">
        <x:v>synthdid 包</x:v>
      </x:c>
      <x:c r="D684" s="14" t="str">
        <x:v>英文</x:v>
      </x:c>
      <x:c r="E684" s="15" t="str">
        <x:v>未处理</x:v>
      </x:c>
      <x:c r="F684" s="15" t="str"/>
      <x:c r="G684" s="16" t="str">
        <x:v>https://synth-inference.github.io/synthdid/</x:v>
      </x:c>
      <x:c r="H684" s="14" t="str">
        <x:v>G09</x:v>
      </x:c>
      <x:c r="I684" s="14" t="str">
        <x:v>方法/软件项目</x:v>
      </x:c>
      <x:c r="J684" s="18" t="str"/>
      <x:c r="K684" s="14" t="str">
        <x:v>教材 / 说明书 / 网页</x:v>
      </x:c>
      <x:c r="L684" s="14" t="str">
        <x:v>选读</x:v>
      </x:c>
      <x:c r="M684" s="14" t="str">
        <x:v>以网页课程、在线章节或项目文档形式提供。</x:v>
      </x:c>
      <x:c r="N684" s="14" t="str">
        <x:v>打开官方入口，使用站点提供的下载功能；网页教程可继续在线使用。</x:v>
      </x:c>
      <x:c r="O684" s="14" t="str">
        <x:v>本条目的方法说明、参数、示例或诊断入口。</x:v>
      </x:c>
      <x:c r="P684" s="14" t="str"/>
      <x:c r="Q684" s="14" t="str"/>
      <x:c r="R684" s="17"/>
      <x:c r="S684" s="14" t="str"/>
      <x:c r="T684" s="14" t="str"/>
      <x:c r="U684" s="19" t="n">
        <x:v>46303</x:v>
      </x:c>
    </x:row>
    <x:row r="685" ht="68" customHeight="1">
      <x:c r="A685" s="14" t="str">
        <x:v>D-C7DF8BEB</x:v>
      </x:c>
      <x:c r="B685" s="14" t="str">
        <x:v>在线阅读</x:v>
      </x:c>
      <x:c r="C685" s="14" t="str">
        <x:v>synthdid 源码仓库</x:v>
      </x:c>
      <x:c r="D685" s="14" t="str">
        <x:v>英文</x:v>
      </x:c>
      <x:c r="E685" s="15" t="str">
        <x:v>未处理</x:v>
      </x:c>
      <x:c r="F685" s="15" t="str"/>
      <x:c r="G685" s="16" t="str">
        <x:v>https://github.com/synth-inference/synthdid</x:v>
      </x:c>
      <x:c r="H685" s="14" t="str">
        <x:v>G09</x:v>
      </x:c>
      <x:c r="I685" s="14" t="str">
        <x:v>github.com</x:v>
      </x:c>
      <x:c r="J685" s="18" t="str"/>
      <x:c r="K685" s="14" t="str">
        <x:v>教材 / 说明书 / 网页</x:v>
      </x:c>
      <x:c r="L685" s="14" t="str">
        <x:v>选读</x:v>
      </x:c>
      <x:c r="M685" s="14" t="str">
        <x:v>以网页课程、在线章节或项目文档形式提供。</x:v>
      </x:c>
      <x:c r="N685" s="14" t="str">
        <x:v>打开官方入口，使用站点提供的下载功能；网页教程可继续在线使用。</x:v>
      </x:c>
      <x:c r="O685" s="14" t="str">
        <x:v>官方说明与使用示例。</x:v>
      </x:c>
      <x:c r="P685" s="14" t="str"/>
      <x:c r="Q685" s="14" t="str"/>
      <x:c r="R685" s="17"/>
      <x:c r="S685" s="14" t="str"/>
      <x:c r="T685" s="14" t="str"/>
      <x:c r="U685" s="19" t="n">
        <x:v>46303</x:v>
      </x:c>
    </x:row>
    <x:row r="686" ht="68" customHeight="1">
      <x:c r="A686" s="14" t="str">
        <x:v>D-FDC75FD9</x:v>
      </x:c>
      <x:c r="B686" s="14" t="str">
        <x:v>在线阅读</x:v>
      </x:c>
      <x:c r="C686" s="14" t="str">
        <x:v>tidysynth 包</x:v>
      </x:c>
      <x:c r="D686" s="14" t="str">
        <x:v>英文</x:v>
      </x:c>
      <x:c r="E686" s="15" t="str">
        <x:v>未处理</x:v>
      </x:c>
      <x:c r="F686" s="15" t="str"/>
      <x:c r="G686" s="16" t="str">
        <x:v>https://github.com/edunford/tidysynth</x:v>
      </x:c>
      <x:c r="H686" s="14" t="str">
        <x:v>G09</x:v>
      </x:c>
      <x:c r="I686" s="14" t="str">
        <x:v>方法/软件项目</x:v>
      </x:c>
      <x:c r="J686" s="18" t="str"/>
      <x:c r="K686" s="14" t="str">
        <x:v>教材 / 说明书 / 网页</x:v>
      </x:c>
      <x:c r="L686" s="14" t="str">
        <x:v>选读</x:v>
      </x:c>
      <x:c r="M686" s="14" t="str">
        <x:v>以网页课程、在线章节或项目文档形式提供。</x:v>
      </x:c>
      <x:c r="N686" s="14" t="str">
        <x:v>打开官方入口，使用站点提供的下载功能；网页教程可继续在线使用。</x:v>
      </x:c>
      <x:c r="O686" s="14" t="str">
        <x:v>本条目的方法说明、参数、示例或诊断入口。</x:v>
      </x:c>
      <x:c r="P686" s="14" t="str"/>
      <x:c r="Q686" s="14" t="str"/>
      <x:c r="R686" s="17"/>
      <x:c r="S686" s="14" t="str"/>
      <x:c r="T686" s="14" t="str"/>
      <x:c r="U686" s="19" t="n">
        <x:v>46303</x:v>
      </x:c>
    </x:row>
    <x:row r="687" ht="68" customHeight="1">
      <x:c r="A687" s="14" t="str">
        <x:v>D-8F7C56BF</x:v>
      </x:c>
      <x:c r="B687" s="14" t="str">
        <x:v>在线阅读</x:v>
      </x:c>
      <x:c r="C687" s="14" t="str">
        <x:v>CMAverse 源码仓库</x:v>
      </x:c>
      <x:c r="D687" s="14" t="str">
        <x:v>英文</x:v>
      </x:c>
      <x:c r="E687" s="15" t="str">
        <x:v>未处理</x:v>
      </x:c>
      <x:c r="F687" s="15" t="str"/>
      <x:c r="G687" s="16" t="str">
        <x:v>https://github.com/BS1125/CMAverse</x:v>
      </x:c>
      <x:c r="H687" s="14" t="str">
        <x:v>G10</x:v>
      </x:c>
      <x:c r="I687" s="14" t="str">
        <x:v>github.com</x:v>
      </x:c>
      <x:c r="J687" s="18" t="str"/>
      <x:c r="K687" s="14" t="str">
        <x:v>教材 / 说明书 / 网页</x:v>
      </x:c>
      <x:c r="L687" s="14" t="str">
        <x:v>选读</x:v>
      </x:c>
      <x:c r="M687" s="14" t="str">
        <x:v>以网页课程、在线章节或项目文档形式提供。</x:v>
      </x:c>
      <x:c r="N687" s="14" t="str">
        <x:v>打开官方入口，使用站点提供的下载功能；网页教程可继续在线使用。</x:v>
      </x:c>
      <x:c r="O687" s="14" t="str">
        <x:v>官方说明与使用示例。</x:v>
      </x:c>
      <x:c r="P687" s="14" t="str"/>
      <x:c r="Q687" s="14" t="str"/>
      <x:c r="R687" s="17"/>
      <x:c r="S687" s="14" t="str"/>
      <x:c r="T687" s="14" t="str"/>
      <x:c r="U687" s="19" t="n">
        <x:v>46303</x:v>
      </x:c>
    </x:row>
    <x:row r="688" ht="68" customHeight="1">
      <x:c r="A688" s="14" t="str">
        <x:v>D-4BB0FFE6</x:v>
      </x:c>
      <x:c r="B688" s="14" t="str">
        <x:v>在线阅读</x:v>
      </x:c>
      <x:c r="C688" s="14" t="str">
        <x:v>CMAverse（更一般的因果中介框架）</x:v>
      </x:c>
      <x:c r="D688" s="14" t="str">
        <x:v>英文</x:v>
      </x:c>
      <x:c r="E688" s="15" t="str">
        <x:v>未处理</x:v>
      </x:c>
      <x:c r="F688" s="15" t="str"/>
      <x:c r="G688" s="16" t="str">
        <x:v>https://bs1125.github.io/CMAverse/</x:v>
      </x:c>
      <x:c r="H688" s="14" t="str">
        <x:v>G10</x:v>
      </x:c>
      <x:c r="I688" s="14" t="str">
        <x:v>方法/软件项目</x:v>
      </x:c>
      <x:c r="J688" s="18" t="str"/>
      <x:c r="K688" s="14" t="str">
        <x:v>教材 / 说明书 / 网页</x:v>
      </x:c>
      <x:c r="L688" s="14" t="str">
        <x:v>选读</x:v>
      </x:c>
      <x:c r="M688" s="14" t="str">
        <x:v>以网页课程、在线章节或项目文档形式提供。</x:v>
      </x:c>
      <x:c r="N688" s="14" t="str">
        <x:v>打开官方入口，使用站点提供的下载功能；网页教程可继续在线使用。</x:v>
      </x:c>
      <x:c r="O688" s="14" t="str">
        <x:v>本条目的方法说明、参数、示例或诊断入口。</x:v>
      </x:c>
      <x:c r="P688" s="14" t="str"/>
      <x:c r="Q688" s="14" t="str"/>
      <x:c r="R688" s="17"/>
      <x:c r="S688" s="14" t="str"/>
      <x:c r="T688" s="14" t="str"/>
      <x:c r="U688" s="19" t="n">
        <x:v>46303</x:v>
      </x:c>
    </x:row>
    <x:row r="689" ht="68" customHeight="1">
      <x:c r="A689" s="14" t="str">
        <x:v>D-137390D1</x:v>
      </x:c>
      <x:c r="B689" s="14" t="str">
        <x:v>在线阅读</x:v>
      </x:c>
      <x:c r="C689" s="14" t="str">
        <x:v>CausalML（Uber，Python 元学习器）</x:v>
      </x:c>
      <x:c r="D689" s="14" t="str">
        <x:v>英文</x:v>
      </x:c>
      <x:c r="E689" s="15" t="str">
        <x:v>未处理</x:v>
      </x:c>
      <x:c r="F689" s="15" t="str"/>
      <x:c r="G689" s="16" t="str">
        <x:v>https://causalml.readthedocs.io/</x:v>
      </x:c>
      <x:c r="H689" s="14" t="str">
        <x:v>G11</x:v>
      </x:c>
      <x:c r="I689" s="14" t="str">
        <x:v>causalml.readthedocs.io</x:v>
      </x:c>
      <x:c r="J689" s="18" t="str"/>
      <x:c r="K689" s="14" t="str">
        <x:v>教材 / 说明书 / 网页</x:v>
      </x:c>
      <x:c r="L689" s="14" t="str">
        <x:v>选读</x:v>
      </x:c>
      <x:c r="M689" s="14" t="str">
        <x:v>以网页课程、在线章节或项目文档形式提供。</x:v>
      </x:c>
      <x:c r="N689" s="14" t="str">
        <x:v>打开官方入口，使用站点提供的下载功能；网页教程可继续在线使用。</x:v>
      </x:c>
      <x:c r="O689" s="14" t="str">
        <x:v>官方说明与使用示例。</x:v>
      </x:c>
      <x:c r="P689" s="14" t="str"/>
      <x:c r="Q689" s="14" t="str"/>
      <x:c r="R689" s="17"/>
      <x:c r="S689" s="14" t="str"/>
      <x:c r="T689" s="14" t="str"/>
      <x:c r="U689" s="19" t="n">
        <x:v>46303</x:v>
      </x:c>
    </x:row>
    <x:row r="690" ht="68" customHeight="1">
      <x:c r="A690" s="14" t="str">
        <x:v>D-818C4A09</x:v>
      </x:c>
      <x:c r="B690" s="14" t="str">
        <x:v>在线阅读</x:v>
      </x:c>
      <x:c r="C690" s="14" t="str">
        <x:v>EconML（Python）</x:v>
      </x:c>
      <x:c r="D690" s="14" t="str">
        <x:v>英文</x:v>
      </x:c>
      <x:c r="E690" s="15" t="str">
        <x:v>未处理</x:v>
      </x:c>
      <x:c r="F690" s="15" t="str"/>
      <x:c r="G690" s="16" t="str">
        <x:v>https://econml.azurewebsites.net/</x:v>
      </x:c>
      <x:c r="H690" s="14" t="str">
        <x:v>G11</x:v>
      </x:c>
      <x:c r="I690" s="14" t="str">
        <x:v>方法/软件项目</x:v>
      </x:c>
      <x:c r="J690" s="18" t="str"/>
      <x:c r="K690" s="14" t="str">
        <x:v>教材 / 说明书 / 网页</x:v>
      </x:c>
      <x:c r="L690" s="14" t="str">
        <x:v>选读</x:v>
      </x:c>
      <x:c r="M690" s="14" t="str">
        <x:v>以网页课程、在线章节或项目文档形式提供。</x:v>
      </x:c>
      <x:c r="N690" s="14" t="str">
        <x:v>打开官方入口，使用站点提供的下载功能；网页教程可继续在线使用。</x:v>
      </x:c>
      <x:c r="O690" s="14" t="str">
        <x:v>本条目的方法说明、参数、示例或诊断入口。</x:v>
      </x:c>
      <x:c r="P690" s="14" t="str"/>
      <x:c r="Q690" s="14" t="str"/>
      <x:c r="R690" s="17"/>
      <x:c r="S690" s="14" t="str"/>
      <x:c r="T690" s="14" t="str"/>
      <x:c r="U690" s="19" t="n">
        <x:v>46303</x:v>
      </x:c>
    </x:row>
    <x:row r="691" ht="68" customHeight="1">
      <x:c r="A691" s="14" t="str">
        <x:v>D-8E963CB0</x:v>
      </x:c>
      <x:c r="B691" s="14" t="str">
        <x:v>在线阅读</x:v>
      </x:c>
      <x:c r="C691" s="14" t="str">
        <x:v>grf 使用指南（含 test_calibration 解读）</x:v>
      </x:c>
      <x:c r="D691" s="14" t="str">
        <x:v>英文</x:v>
      </x:c>
      <x:c r="E691" s="15" t="str">
        <x:v>未处理</x:v>
      </x:c>
      <x:c r="F691" s="15" t="str"/>
      <x:c r="G691" s="16" t="str">
        <x:v>https://grf-labs.github.io/grf/articles/grf_guide.html</x:v>
      </x:c>
      <x:c r="H691" s="14" t="str">
        <x:v>G11</x:v>
      </x:c>
      <x:c r="I691" s="14" t="str">
        <x:v>方法/软件项目</x:v>
      </x:c>
      <x:c r="J691" s="18" t="str"/>
      <x:c r="K691" s="14" t="str">
        <x:v>教材 / 说明书 / 网页</x:v>
      </x:c>
      <x:c r="L691" s="14" t="str">
        <x:v>选读</x:v>
      </x:c>
      <x:c r="M691" s="14" t="str">
        <x:v>以网页课程、在线章节或项目文档形式提供。</x:v>
      </x:c>
      <x:c r="N691" s="14" t="str">
        <x:v>打开官方入口，使用站点提供的下载功能；网页教程可继续在线使用。</x:v>
      </x:c>
      <x:c r="O691" s="14" t="str">
        <x:v>本条目的方法说明、参数、示例或诊断入口。</x:v>
      </x:c>
      <x:c r="P691" s="14" t="str"/>
      <x:c r="Q691" s="14" t="str"/>
      <x:c r="R691" s="17"/>
      <x:c r="S691" s="14" t="str"/>
      <x:c r="T691" s="14" t="str"/>
      <x:c r="U691" s="19" t="n">
        <x:v>46303</x:v>
      </x:c>
    </x:row>
    <x:row r="692" ht="68" customHeight="1">
      <x:c r="A692" s="14" t="str">
        <x:v>D-AD102009</x:v>
      </x:c>
      <x:c r="B692" s="14" t="str">
        <x:v>在线阅读</x:v>
      </x:c>
      <x:c r="C692" s="14" t="str">
        <x:v>grf 官方站与教程</x:v>
      </x:c>
      <x:c r="D692" s="14" t="str">
        <x:v>英文</x:v>
      </x:c>
      <x:c r="E692" s="15" t="str">
        <x:v>未处理</x:v>
      </x:c>
      <x:c r="F692" s="15" t="str"/>
      <x:c r="G692" s="16" t="str">
        <x:v>https://grf-labs.github.io/grf/</x:v>
      </x:c>
      <x:c r="H692" s="14" t="str">
        <x:v>G11</x:v>
      </x:c>
      <x:c r="I692" s="14" t="str">
        <x:v>方法/软件项目</x:v>
      </x:c>
      <x:c r="J692" s="18" t="str"/>
      <x:c r="K692" s="14" t="str">
        <x:v>教材 / 说明书 / 网页</x:v>
      </x:c>
      <x:c r="L692" s="14" t="str">
        <x:v>选读</x:v>
      </x:c>
      <x:c r="M692" s="14" t="str">
        <x:v>以网页课程、在线章节或项目文档形式提供。</x:v>
      </x:c>
      <x:c r="N692" s="14" t="str">
        <x:v>打开官方入口，使用站点提供的下载功能；网页教程可继续在线使用。</x:v>
      </x:c>
      <x:c r="O692" s="14" t="str">
        <x:v>本条目的方法说明、参数、示例或诊断入口。</x:v>
      </x:c>
      <x:c r="P692" s="14" t="str"/>
      <x:c r="Q692" s="14" t="str"/>
      <x:c r="R692" s="17"/>
      <x:c r="S692" s="14" t="str"/>
      <x:c r="T692" s="14" t="str"/>
      <x:c r="U692" s="19" t="n">
        <x:v>46303</x:v>
      </x:c>
    </x:row>
    <x:row r="693" ht="68" customHeight="1">
      <x:c r="A693" s="14" t="str">
        <x:v>D-945AFD7C</x:v>
      </x:c>
      <x:c r="B693" s="14" t="str">
        <x:v>在线阅读</x:v>
      </x:c>
      <x:c r="C693" s="14" t="str">
        <x:v>policytree 包（从 CATE 到干预策略）</x:v>
      </x:c>
      <x:c r="D693" s="14" t="str">
        <x:v>英文</x:v>
      </x:c>
      <x:c r="E693" s="15" t="str">
        <x:v>未处理</x:v>
      </x:c>
      <x:c r="F693" s="15" t="str"/>
      <x:c r="G693" s="16" t="str">
        <x:v>https://cran.r-project.org/package=policytree</x:v>
      </x:c>
      <x:c r="H693" s="14" t="str">
        <x:v>G11</x:v>
      </x:c>
      <x:c r="I693" s="14" t="str">
        <x:v>cran.r-project.org</x:v>
      </x:c>
      <x:c r="J693" s="18" t="str"/>
      <x:c r="K693" s="14" t="str">
        <x:v>教材 / 说明书 / 网页</x:v>
      </x:c>
      <x:c r="L693" s="14" t="str">
        <x:v>选读</x:v>
      </x:c>
      <x:c r="M693" s="14" t="str">
        <x:v>以网页课程、在线章节或项目文档形式提供。</x:v>
      </x:c>
      <x:c r="N693" s="14" t="str">
        <x:v>打开官方入口，使用站点提供的下载功能；网页教程可继续在线使用。</x:v>
      </x:c>
      <x:c r="O693" s="14" t="str">
        <x:v>官方说明与使用示例。</x:v>
      </x:c>
      <x:c r="P693" s="14" t="str"/>
      <x:c r="Q693" s="14" t="str"/>
      <x:c r="R693" s="17"/>
      <x:c r="S693" s="14" t="str"/>
      <x:c r="T693" s="14" t="str"/>
      <x:c r="U693" s="19" t="n">
        <x:v>46303</x:v>
      </x:c>
    </x:row>
    <x:row r="694" ht="68" customHeight="1">
      <x:c r="A694" s="14" t="str">
        <x:v>D-620CD427</x:v>
      </x:c>
      <x:c r="B694" s="14" t="str">
        <x:v>在线阅读</x:v>
      </x:c>
      <x:c r="C694" s="14" t="str">
        <x:v>EValue R 包</x:v>
      </x:c>
      <x:c r="D694" s="14" t="str">
        <x:v>英文</x:v>
      </x:c>
      <x:c r="E694" s="15" t="str">
        <x:v>未处理</x:v>
      </x:c>
      <x:c r="F694" s="15" t="str"/>
      <x:c r="G694" s="16" t="str">
        <x:v>https://cran.r-project.org/package=EValue</x:v>
      </x:c>
      <x:c r="H694" s="14" t="str">
        <x:v>G12</x:v>
      </x:c>
      <x:c r="I694" s="14" t="str">
        <x:v>方法/软件项目</x:v>
      </x:c>
      <x:c r="J694" s="18" t="str"/>
      <x:c r="K694" s="14" t="str">
        <x:v>教材 / 说明书 / 网页</x:v>
      </x:c>
      <x:c r="L694" s="14" t="str">
        <x:v>选读</x:v>
      </x:c>
      <x:c r="M694" s="14" t="str">
        <x:v>以网页课程、在线章节或项目文档形式提供。</x:v>
      </x:c>
      <x:c r="N694" s="14" t="str">
        <x:v>打开官方入口，使用站点提供的下载功能；网页教程可继续在线使用。</x:v>
      </x:c>
      <x:c r="O694" s="14" t="str">
        <x:v>本条目的方法说明、参数、示例或诊断入口。</x:v>
      </x:c>
      <x:c r="P694" s="14" t="str"/>
      <x:c r="Q694" s="14" t="str"/>
      <x:c r="R694" s="17"/>
      <x:c r="S694" s="14" t="str"/>
      <x:c r="T694" s="14" t="str"/>
      <x:c r="U694" s="19" t="n">
        <x:v>46303</x:v>
      </x:c>
    </x:row>
    <x:row r="695" ht="68" customHeight="1">
      <x:c r="A695" s="14" t="str">
        <x:v>D-AFC073DD</x:v>
      </x:c>
      <x:c r="B695" s="14" t="str">
        <x:v>在线阅读</x:v>
      </x:c>
      <x:c r="C695" s="14" t="str">
        <x:v>sensemakr 官方站（R / Python / Stata）</x:v>
      </x:c>
      <x:c r="D695" s="14" t="str">
        <x:v>英文</x:v>
      </x:c>
      <x:c r="E695" s="15" t="str">
        <x:v>未处理</x:v>
      </x:c>
      <x:c r="F695" s="15" t="str"/>
      <x:c r="G695" s="16" t="str">
        <x:v>https://carloscinelli.com/sensemakr/</x:v>
      </x:c>
      <x:c r="H695" s="14" t="str">
        <x:v>G12</x:v>
      </x:c>
      <x:c r="I695" s="14" t="str">
        <x:v>方法/软件项目</x:v>
      </x:c>
      <x:c r="J695" s="18" t="str"/>
      <x:c r="K695" s="14" t="str">
        <x:v>教材 / 说明书 / 网页</x:v>
      </x:c>
      <x:c r="L695" s="14" t="str">
        <x:v>选读</x:v>
      </x:c>
      <x:c r="M695" s="14" t="str">
        <x:v>以网页课程、在线章节或项目文档形式提供。</x:v>
      </x:c>
      <x:c r="N695" s="14" t="str">
        <x:v>打开官方入口，使用站点提供的下载功能；网页教程可继续在线使用。</x:v>
      </x:c>
      <x:c r="O695" s="14" t="str">
        <x:v>本条目的方法说明、参数、示例或诊断入口。</x:v>
      </x:c>
      <x:c r="P695" s="14" t="str"/>
      <x:c r="Q695" s="14" t="str"/>
      <x:c r="R695" s="17"/>
      <x:c r="S695" s="14" t="str"/>
      <x:c r="T695" s="14" t="str"/>
      <x:c r="U695" s="19" t="n">
        <x:v>46303</x:v>
      </x:c>
    </x:row>
    <x:row r="696" ht="68" customHeight="1">
      <x:c r="A696" s="14" t="str">
        <x:v>D-E672A1E7</x:v>
      </x:c>
      <x:c r="B696" s="14" t="str">
        <x:v>在线阅读</x:v>
      </x:c>
      <x:c r="C696" s="14" t="str">
        <x:v>Causal ML Book（免费在线）</x:v>
      </x:c>
      <x:c r="D696" s="14" t="str">
        <x:v>英文</x:v>
      </x:c>
      <x:c r="E696" s="15" t="str">
        <x:v>未处理</x:v>
      </x:c>
      <x:c r="F696" s="15" t="str"/>
      <x:c r="G696" s="16" t="str">
        <x:v>https://causalml-book.org/</x:v>
      </x:c>
      <x:c r="H696" s="14" t="str">
        <x:v>G13</x:v>
      </x:c>
      <x:c r="I696" s="14" t="str">
        <x:v>方法/软件项目</x:v>
      </x:c>
      <x:c r="J696" s="18" t="str"/>
      <x:c r="K696" s="14" t="str">
        <x:v>教材 / 说明书 / 网页</x:v>
      </x:c>
      <x:c r="L696" s="14" t="str">
        <x:v>选读</x:v>
      </x:c>
      <x:c r="M696" s="14" t="str">
        <x:v>以网页课程、在线章节或项目文档形式提供。</x:v>
      </x:c>
      <x:c r="N696" s="14" t="str">
        <x:v>打开官方入口，使用站点提供的下载功能；网页教程可继续在线使用。</x:v>
      </x:c>
      <x:c r="O696" s="14" t="str">
        <x:v>本条目的方法说明、参数、示例或诊断入口。</x:v>
      </x:c>
      <x:c r="P696" s="14" t="str"/>
      <x:c r="Q696" s="14" t="str"/>
      <x:c r="R696" s="17"/>
      <x:c r="S696" s="14" t="str"/>
      <x:c r="T696" s="14" t="str"/>
      <x:c r="U696" s="19" t="n">
        <x:v>46303</x:v>
      </x:c>
    </x:row>
    <x:row r="697" ht="68" customHeight="1">
      <x:c r="A697" s="14" t="str">
        <x:v>D-C9C6661A</x:v>
      </x:c>
      <x:c r="B697" s="14" t="str">
        <x:v>在线阅读</x:v>
      </x:c>
      <x:c r="C697" s="14" t="str">
        <x:v>DoubleML 入门指南</x:v>
      </x:c>
      <x:c r="D697" s="14" t="str">
        <x:v>英文</x:v>
      </x:c>
      <x:c r="E697" s="15" t="str">
        <x:v>未处理</x:v>
      </x:c>
      <x:c r="F697" s="15" t="str"/>
      <x:c r="G697" s="16" t="str">
        <x:v>https://docs.doubleml.org/stable/intro/intro.html</x:v>
      </x:c>
      <x:c r="H697" s="14" t="str">
        <x:v>G13</x:v>
      </x:c>
      <x:c r="I697" s="14" t="str">
        <x:v>docs.doubleml.org</x:v>
      </x:c>
      <x:c r="J697" s="18" t="str"/>
      <x:c r="K697" s="14" t="str">
        <x:v>教材 / 说明书 / 网页</x:v>
      </x:c>
      <x:c r="L697" s="14" t="str">
        <x:v>选读</x:v>
      </x:c>
      <x:c r="M697" s="14" t="str">
        <x:v>以网页课程、在线章节或项目文档形式提供。</x:v>
      </x:c>
      <x:c r="N697" s="14" t="str">
        <x:v>打开官方入口，使用站点提供的下载功能；网页教程可继续在线使用。</x:v>
      </x:c>
      <x:c r="O697" s="14" t="str">
        <x:v>官方说明与使用示例。</x:v>
      </x:c>
      <x:c r="P697" s="14" t="str"/>
      <x:c r="Q697" s="14" t="str"/>
      <x:c r="R697" s="17"/>
      <x:c r="S697" s="14" t="str"/>
      <x:c r="T697" s="14" t="str"/>
      <x:c r="U697" s="19" t="n">
        <x:v>46303</x:v>
      </x:c>
    </x:row>
    <x:row r="698" ht="68" customHeight="1">
      <x:c r="A698" s="14" t="str">
        <x:v>D-25AFB834</x:v>
      </x:c>
      <x:c r="B698" s="14" t="str">
        <x:v>在线阅读</x:v>
      </x:c>
      <x:c r="C698" s="14" t="str">
        <x:v>DoubleML 官方文档（R 与 Python 同一套 API）</x:v>
      </x:c>
      <x:c r="D698" s="14" t="str">
        <x:v>英文</x:v>
      </x:c>
      <x:c r="E698" s="15" t="str">
        <x:v>未处理</x:v>
      </x:c>
      <x:c r="F698" s="15" t="str"/>
      <x:c r="G698" s="16" t="str">
        <x:v>https://docs.doubleml.org/stable/</x:v>
      </x:c>
      <x:c r="H698" s="14" t="str">
        <x:v>G13</x:v>
      </x:c>
      <x:c r="I698" s="14" t="str">
        <x:v>方法/软件项目</x:v>
      </x:c>
      <x:c r="J698" s="18" t="str"/>
      <x:c r="K698" s="14" t="str">
        <x:v>教材 / 说明书 / 网页</x:v>
      </x:c>
      <x:c r="L698" s="14" t="str">
        <x:v>选读</x:v>
      </x:c>
      <x:c r="M698" s="14" t="str">
        <x:v>以网页课程、在线章节或项目文档形式提供。</x:v>
      </x:c>
      <x:c r="N698" s="14" t="str">
        <x:v>打开官方入口，使用站点提供的下载功能；网页教程可继续在线使用。</x:v>
      </x:c>
      <x:c r="O698" s="14" t="str">
        <x:v>本条目的方法说明、参数、示例或诊断入口。</x:v>
      </x:c>
      <x:c r="P698" s="14" t="str"/>
      <x:c r="Q698" s="14" t="str"/>
      <x:c r="R698" s="17"/>
      <x:c r="S698" s="14" t="str"/>
      <x:c r="T698" s="14" t="str"/>
      <x:c r="U698" s="19" t="n">
        <x:v>46303</x:v>
      </x:c>
    </x:row>
    <x:row r="699" ht="68" customHeight="1">
      <x:c r="A699" s="14" t="str">
        <x:v>D-E208C415</x:v>
      </x:c>
      <x:c r="B699" s="14" t="str">
        <x:v>在线阅读</x:v>
      </x:c>
      <x:c r="C699" s="14" t="str">
        <x:v>DoubleML 官方示例库（R 与 Python 可运行笔记本）</x:v>
      </x:c>
      <x:c r="D699" s="14" t="str">
        <x:v>英文</x:v>
      </x:c>
      <x:c r="E699" s="15" t="str">
        <x:v>未处理</x:v>
      </x:c>
      <x:c r="F699" s="15" t="str"/>
      <x:c r="G699" s="16" t="str">
        <x:v>https://docs.doubleml.org/stable/examples/index.html</x:v>
      </x:c>
      <x:c r="H699" s="14" t="str">
        <x:v>G13</x:v>
      </x:c>
      <x:c r="I699" s="14" t="str">
        <x:v>DoubleML 开发团队</x:v>
      </x:c>
      <x:c r="J699" s="18" t="str"/>
      <x:c r="K699" s="14" t="str">
        <x:v>教材 / 说明书 / 网页</x:v>
      </x:c>
      <x:c r="L699" s="14" t="str">
        <x:v>选读</x:v>
      </x:c>
      <x:c r="M699" s="14" t="str">
        <x:v>以网页课程、在线章节或项目文档形式提供。</x:v>
      </x:c>
      <x:c r="N699" s="14" t="str">
        <x:v>打开官方入口，使用站点提供的下载功能；网页教程可继续在线使用。</x:v>
      </x:c>
      <x:c r="O699" s="14" t="str">
        <x:v>不是视频而是可直接运行的案例集，比看讲座更快上手；从部分线性模型到 IV-DML 都有完整代码</x:v>
      </x:c>
      <x:c r="P699" s="14" t="str"/>
      <x:c r="Q699" s="14" t="str"/>
      <x:c r="R699" s="17"/>
      <x:c r="S699" s="14" t="str"/>
      <x:c r="T699" s="14" t="str"/>
      <x:c r="U699" s="19" t="n">
        <x:v>46303</x:v>
      </x:c>
    </x:row>
    <x:row r="700" ht="68" customHeight="1">
      <x:c r="A700" s="14" t="str">
        <x:v>D-86463CEF</x:v>
      </x:c>
      <x:c r="B700" s="14" t="str">
        <x:v>在线阅读</x:v>
      </x:c>
      <x:c r="C700" s="14" t="str">
        <x:v>DoubleML 官方站（R + Python）</x:v>
      </x:c>
      <x:c r="D700" s="14" t="str">
        <x:v>英文</x:v>
      </x:c>
      <x:c r="E700" s="15" t="str">
        <x:v>未处理</x:v>
      </x:c>
      <x:c r="F700" s="15" t="str"/>
      <x:c r="G700" s="16" t="str">
        <x:v>https://docs.doubleml.org/</x:v>
      </x:c>
      <x:c r="H700" s="14" t="str">
        <x:v>G13</x:v>
      </x:c>
      <x:c r="I700" s="14" t="str">
        <x:v>方法/软件项目</x:v>
      </x:c>
      <x:c r="J700" s="18" t="str"/>
      <x:c r="K700" s="14" t="str">
        <x:v>教材 / 说明书 / 网页</x:v>
      </x:c>
      <x:c r="L700" s="14" t="str">
        <x:v>选读</x:v>
      </x:c>
      <x:c r="M700" s="14" t="str">
        <x:v>以网页课程、在线章节或项目文档形式提供。</x:v>
      </x:c>
      <x:c r="N700" s="14" t="str">
        <x:v>打开官方入口，使用站点提供的下载功能；网页教程可继续在线使用。</x:v>
      </x:c>
      <x:c r="O700" s="14" t="str">
        <x:v>本条目的方法说明、参数、示例或诊断入口。</x:v>
      </x:c>
      <x:c r="P700" s="14" t="str"/>
      <x:c r="Q700" s="14" t="str"/>
      <x:c r="R700" s="17"/>
      <x:c r="S700" s="14" t="str"/>
      <x:c r="T700" s="14" t="str"/>
      <x:c r="U700" s="19" t="n">
        <x:v>46303</x:v>
      </x:c>
    </x:row>
    <x:row r="701" ht="68" customHeight="1">
      <x:c r="A701" s="14" t="str">
        <x:v>D-0BC03437</x:v>
      </x:c>
      <x:c r="B701" s="14" t="str">
        <x:v>在线阅读</x:v>
      </x:c>
      <x:c r="C701" s="14" t="str">
        <x:v>DoubleML 标准工作流</x:v>
      </x:c>
      <x:c r="D701" s="14" t="str">
        <x:v>英文</x:v>
      </x:c>
      <x:c r="E701" s="15" t="str">
        <x:v>未处理</x:v>
      </x:c>
      <x:c r="F701" s="15" t="str"/>
      <x:c r="G701" s="16" t="str">
        <x:v>https://docs.doubleml.org/stable/workflow/workflow.html</x:v>
      </x:c>
      <x:c r="H701" s="14" t="str">
        <x:v>G13</x:v>
      </x:c>
      <x:c r="I701" s="14" t="str">
        <x:v>docs.doubleml.org</x:v>
      </x:c>
      <x:c r="J701" s="18" t="str"/>
      <x:c r="K701" s="14" t="str">
        <x:v>教材 / 说明书 / 网页</x:v>
      </x:c>
      <x:c r="L701" s="14" t="str">
        <x:v>选读</x:v>
      </x:c>
      <x:c r="M701" s="14" t="str">
        <x:v>以网页课程、在线章节或项目文档形式提供。</x:v>
      </x:c>
      <x:c r="N701" s="14" t="str">
        <x:v>打开官方入口，使用站点提供的下载功能；网页教程可继续在线使用。</x:v>
      </x:c>
      <x:c r="O701" s="14" t="str">
        <x:v>官方说明与使用示例。</x:v>
      </x:c>
      <x:c r="P701" s="14" t="str"/>
      <x:c r="Q701" s="14" t="str"/>
      <x:c r="R701" s="17"/>
      <x:c r="S701" s="14" t="str"/>
      <x:c r="T701" s="14" t="str"/>
      <x:c r="U701" s="19" t="n">
        <x:v>46303</x:v>
      </x:c>
    </x:row>
    <x:row r="702" ht="68" customHeight="1">
      <x:c r="A702" s="14" t="str">
        <x:v>D-6EC2C353</x:v>
      </x:c>
      <x:c r="B702" s="14" t="str">
        <x:v>在线阅读</x:v>
      </x:c>
      <x:c r="C702" s="14" t="str">
        <x:v>causal-learn 官方文档（Python，CMU 因果实验室）</x:v>
      </x:c>
      <x:c r="D702" s="14" t="str">
        <x:v>英文</x:v>
      </x:c>
      <x:c r="E702" s="15" t="str">
        <x:v>未处理</x:v>
      </x:c>
      <x:c r="F702" s="15" t="str"/>
      <x:c r="G702" s="16" t="str">
        <x:v>https://causal-learn.readthedocs.io/en/latest/</x:v>
      </x:c>
      <x:c r="H702" s="14" t="str">
        <x:v>G14</x:v>
      </x:c>
      <x:c r="I702" s="14" t="str">
        <x:v>方法/软件项目</x:v>
      </x:c>
      <x:c r="J702" s="18" t="str"/>
      <x:c r="K702" s="14" t="str">
        <x:v>教材 / 说明书 / 网页</x:v>
      </x:c>
      <x:c r="L702" s="14" t="str">
        <x:v>选读</x:v>
      </x:c>
      <x:c r="M702" s="14" t="str">
        <x:v>以网页课程、在线章节或项目文档形式提供。</x:v>
      </x:c>
      <x:c r="N702" s="14" t="str">
        <x:v>打开官方入口，使用站点提供的下载功能；网页教程可继续在线使用。</x:v>
      </x:c>
      <x:c r="O702" s="14" t="str">
        <x:v>本条目的方法说明、参数、示例或诊断入口。</x:v>
      </x:c>
      <x:c r="P702" s="14" t="str"/>
      <x:c r="Q702" s="14" t="str"/>
      <x:c r="R702" s="17"/>
      <x:c r="S702" s="14" t="str"/>
      <x:c r="T702" s="14" t="str"/>
      <x:c r="U702" s="19" t="n">
        <x:v>46303</x:v>
      </x:c>
    </x:row>
    <x:row r="703" ht="68" customHeight="1">
      <x:c r="A703" s="14" t="str">
        <x:v>D-D156C7CD</x:v>
      </x:c>
      <x:c r="B703" s="14" t="str">
        <x:v>在线阅读</x:v>
      </x:c>
      <x:c r="C703" s="14" t="str">
        <x:v>causal-learn（Python，CMU 出品）</x:v>
      </x:c>
      <x:c r="D703" s="14" t="str">
        <x:v>英文</x:v>
      </x:c>
      <x:c r="E703" s="15" t="str">
        <x:v>未处理</x:v>
      </x:c>
      <x:c r="F703" s="15" t="str"/>
      <x:c r="G703" s="16" t="str">
        <x:v>https://causal-learn.readthedocs.io/</x:v>
      </x:c>
      <x:c r="H703" s="14" t="str">
        <x:v>G14</x:v>
      </x:c>
      <x:c r="I703" s="14" t="str">
        <x:v>方法/软件项目</x:v>
      </x:c>
      <x:c r="J703" s="18" t="str"/>
      <x:c r="K703" s="14" t="str">
        <x:v>教材 / 说明书 / 网页</x:v>
      </x:c>
      <x:c r="L703" s="14" t="str">
        <x:v>选读</x:v>
      </x:c>
      <x:c r="M703" s="14" t="str">
        <x:v>以网页课程、在线章节或项目文档形式提供。</x:v>
      </x:c>
      <x:c r="N703" s="14" t="str">
        <x:v>打开官方入口，使用站点提供的下载功能；网页教程可继续在线使用。</x:v>
      </x:c>
      <x:c r="O703" s="14" t="str">
        <x:v>本条目的方法说明、参数、示例或诊断入口。</x:v>
      </x:c>
      <x:c r="P703" s="14" t="str"/>
      <x:c r="Q703" s="14" t="str"/>
      <x:c r="R703" s="17"/>
      <x:c r="S703" s="14" t="str"/>
      <x:c r="T703" s="14" t="str"/>
      <x:c r="U703" s="19" t="n">
        <x:v>46303</x:v>
      </x:c>
    </x:row>
    <x:row r="704" ht="68" customHeight="1">
      <x:c r="A704" s="14" t="str">
        <x:v>D-FF5C722D</x:v>
      </x:c>
      <x:c r="B704" s="14" t="str">
        <x:v>在线阅读</x:v>
      </x:c>
      <x:c r="C704" s="14" t="str">
        <x:v>CMU 因果发现工具与基准</x:v>
      </x:c>
      <x:c r="D704" s="14" t="str">
        <x:v>英文</x:v>
      </x:c>
      <x:c r="E704" s="15" t="str">
        <x:v>未处理</x:v>
      </x:c>
      <x:c r="F704" s="15" t="str"/>
      <x:c r="G704" s="16" t="str">
        <x:v>https://www.cmu.edu/dietrich/causality/causal-learn/</x:v>
      </x:c>
      <x:c r="H704" s="14" t="str">
        <x:v>G14</x:v>
      </x:c>
      <x:c r="I704" s="14" t="str">
        <x:v>www.cmu.edu</x:v>
      </x:c>
      <x:c r="J704" s="18" t="str"/>
      <x:c r="K704" s="14" t="str">
        <x:v>教材 / 说明书 / 网页</x:v>
      </x:c>
      <x:c r="L704" s="14" t="str">
        <x:v>选读</x:v>
      </x:c>
      <x:c r="M704" s="14" t="str">
        <x:v>以网页课程、在线章节或项目文档形式提供。</x:v>
      </x:c>
      <x:c r="N704" s="14" t="str">
        <x:v>打开官方入口，使用站点提供的下载功能；网页教程可继续在线使用。</x:v>
      </x:c>
      <x:c r="O704" s="14" t="str">
        <x:v>官方说明与使用示例。</x:v>
      </x:c>
      <x:c r="P704" s="14" t="str"/>
      <x:c r="Q704" s="14" t="str"/>
      <x:c r="R704" s="17"/>
      <x:c r="S704" s="14" t="str"/>
      <x:c r="T704" s="14" t="str"/>
      <x:c r="U704" s="19" t="n">
        <x:v>46303</x:v>
      </x:c>
    </x:row>
    <x:row r="705" ht="68" customHeight="1">
      <x:c r="A705" s="14" t="str">
        <x:v>D-FE462034</x:v>
      </x:c>
      <x:c r="B705" s="14" t="str">
        <x:v>在线阅读</x:v>
      </x:c>
      <x:c r="C705" s="14" t="str">
        <x:v>DoWhy 因果发现示例笔记本</x:v>
      </x:c>
      <x:c r="D705" s="14" t="str">
        <x:v>英文</x:v>
      </x:c>
      <x:c r="E705" s="15" t="str">
        <x:v>未处理</x:v>
      </x:c>
      <x:c r="F705" s="15" t="str"/>
      <x:c r="G705" s="16" t="str">
        <x:v>https://www.pywhy.org/dowhy/v0.11/example_notebooks/dowhy_causal_discovery_example.html</x:v>
      </x:c>
      <x:c r="H705" s="14" t="str">
        <x:v>G14</x:v>
      </x:c>
      <x:c r="I705" s="14" t="str">
        <x:v>PyWhy（微软与亚马逊发起的开源生态）</x:v>
      </x:c>
      <x:c r="J705" s="18" t="str"/>
      <x:c r="K705" s="14" t="str">
        <x:v>教材 / 说明书 / 网页</x:v>
      </x:c>
      <x:c r="L705" s="14" t="str">
        <x:v>选读</x:v>
      </x:c>
      <x:c r="M705" s="14" t="str">
        <x:v>以网页课程、在线章节或项目文档形式提供。</x:v>
      </x:c>
      <x:c r="N705" s="14" t="str">
        <x:v>打开官方入口，使用站点提供的下载功能；网页教程可继续在线使用。</x:v>
      </x:c>
      <x:c r="O705" s="14" t="str">
        <x:v>把因果发现与效应估计串成一条流水线的可运行示例，看得到「发现的图」怎样进入后续估计</x:v>
      </x:c>
      <x:c r="P705" s="14" t="str"/>
      <x:c r="Q705" s="14" t="str"/>
      <x:c r="R705" s="17"/>
      <x:c r="S705" s="14" t="str"/>
      <x:c r="T705" s="14" t="str"/>
      <x:c r="U705" s="19" t="n">
        <x:v>46303</x:v>
      </x:c>
    </x:row>
    <x:row r="706" ht="68" customHeight="1">
      <x:c r="A706" s="14" t="str">
        <x:v>D-1F8DCF3A</x:v>
      </x:c>
      <x:c r="B706" s="14" t="str">
        <x:v>在线阅读</x:v>
      </x:c>
      <x:c r="C706" s="14" t="str">
        <x:v>pcalg 包</x:v>
      </x:c>
      <x:c r="D706" s="14" t="str">
        <x:v>英文</x:v>
      </x:c>
      <x:c r="E706" s="15" t="str">
        <x:v>未处理</x:v>
      </x:c>
      <x:c r="F706" s="15" t="str"/>
      <x:c r="G706" s="16" t="str">
        <x:v>https://cran.r-project.org/package=pcalg</x:v>
      </x:c>
      <x:c r="H706" s="14" t="str">
        <x:v>G14</x:v>
      </x:c>
      <x:c r="I706" s="14" t="str">
        <x:v>方法/软件项目</x:v>
      </x:c>
      <x:c r="J706" s="18" t="str"/>
      <x:c r="K706" s="14" t="str">
        <x:v>教材 / 说明书 / 网页</x:v>
      </x:c>
      <x:c r="L706" s="14" t="str">
        <x:v>选读</x:v>
      </x:c>
      <x:c r="M706" s="14" t="str">
        <x:v>以网页课程、在线章节或项目文档形式提供。</x:v>
      </x:c>
      <x:c r="N706" s="14" t="str">
        <x:v>打开官方入口，使用站点提供的下载功能；网页教程可继续在线使用。</x:v>
      </x:c>
      <x:c r="O706" s="14" t="str">
        <x:v>本条目的方法说明、参数、示例或诊断入口。</x:v>
      </x:c>
      <x:c r="P706" s="14" t="str"/>
      <x:c r="Q706" s="14" t="str"/>
      <x:c r="R706" s="17"/>
      <x:c r="S706" s="14" t="str"/>
      <x:c r="T706" s="14" t="str"/>
      <x:c r="U706" s="19" t="n">
        <x:v>46303</x:v>
      </x:c>
    </x:row>
    <x:row r="707" ht="68" customHeight="1">
      <x:c r="A707" s="14" t="str">
        <x:v>D-61EC8FFB</x:v>
      </x:c>
      <x:c r="B707" s="14" t="str">
        <x:v>在线阅读</x:v>
      </x:c>
      <x:c r="C707" s="14" t="str">
        <x:v>PyWhy 因果机器学习生态（DoWhy / EconML / causal-learn）</x:v>
      </x:c>
      <x:c r="D707" s="14" t="str">
        <x:v>英文</x:v>
      </x:c>
      <x:c r="E707" s="15" t="str">
        <x:v>未处理</x:v>
      </x:c>
      <x:c r="F707" s="15" t="str"/>
      <x:c r="G707" s="16" t="str">
        <x:v>https://www.pywhy.org/</x:v>
      </x:c>
      <x:c r="H707" s="14" t="str">
        <x:v>G14</x:v>
      </x:c>
      <x:c r="I707" s="14" t="str">
        <x:v>www.pywhy.org</x:v>
      </x:c>
      <x:c r="J707" s="18" t="str"/>
      <x:c r="K707" s="14" t="str">
        <x:v>教材 / 说明书 / 网页</x:v>
      </x:c>
      <x:c r="L707" s="14" t="str">
        <x:v>选读</x:v>
      </x:c>
      <x:c r="M707" s="14" t="str">
        <x:v>以网页课程、在线章节或项目文档形式提供。</x:v>
      </x:c>
      <x:c r="N707" s="14" t="str">
        <x:v>打开官方入口，使用站点提供的下载功能；网页教程可继续在线使用。</x:v>
      </x:c>
      <x:c r="O707" s="14" t="str">
        <x:v>官方说明与使用示例。</x:v>
      </x:c>
      <x:c r="P707" s="14" t="str"/>
      <x:c r="Q707" s="14" t="str"/>
      <x:c r="R707" s="17"/>
      <x:c r="S707" s="14" t="str"/>
      <x:c r="T707" s="14" t="str"/>
      <x:c r="U707" s="19" t="n">
        <x:v>46303</x:v>
      </x:c>
    </x:row>
    <x:row r="708" ht="68" customHeight="1">
      <x:c r="A708" s="14" t="str">
        <x:v>D-4988845F</x:v>
      </x:c>
      <x:c r="B708" s="14" t="str">
        <x:v>在线阅读</x:v>
      </x:c>
      <x:c r="C708" s="14" t="str">
        <x:v>TrialEmulation R 包</x:v>
      </x:c>
      <x:c r="D708" s="14" t="str">
        <x:v>英文</x:v>
      </x:c>
      <x:c r="E708" s="15" t="str">
        <x:v>未处理</x:v>
      </x:c>
      <x:c r="F708" s="15" t="str"/>
      <x:c r="G708" s="16" t="str">
        <x:v>https://cran.r-project.org/package=TrialEmulation</x:v>
      </x:c>
      <x:c r="H708" s="14" t="str">
        <x:v>G15</x:v>
      </x:c>
      <x:c r="I708" s="14" t="str">
        <x:v>方法/软件项目</x:v>
      </x:c>
      <x:c r="J708" s="18" t="str"/>
      <x:c r="K708" s="14" t="str">
        <x:v>教材 / 说明书 / 网页</x:v>
      </x:c>
      <x:c r="L708" s="14" t="str">
        <x:v>选读</x:v>
      </x:c>
      <x:c r="M708" s="14" t="str">
        <x:v>以网页课程、在线章节或项目文档形式提供。</x:v>
      </x:c>
      <x:c r="N708" s="14" t="str">
        <x:v>打开官方入口，使用站点提供的下载功能；网页教程可继续在线使用。</x:v>
      </x:c>
      <x:c r="O708" s="14" t="str">
        <x:v>本条目的方法说明、参数、示例或诊断入口。</x:v>
      </x:c>
      <x:c r="P708" s="14" t="str"/>
      <x:c r="Q708" s="14" t="str"/>
      <x:c r="R708" s="17"/>
      <x:c r="S708" s="14" t="str"/>
      <x:c r="T708" s="14" t="str"/>
      <x:c r="U708" s="19" t="n">
        <x:v>46303</x:v>
      </x:c>
    </x:row>
    <x:row r="709" ht="68" customHeight="1">
      <x:c r="A709" s="14" t="str">
        <x:v>D-006BCF14</x:v>
      </x:c>
      <x:c r="B709" s="14" t="str">
        <x:v>在线阅读</x:v>
      </x:c>
      <x:c r="C709" s="14" t="str">
        <x:v>TrialEmulation 源码仓库</x:v>
      </x:c>
      <x:c r="D709" s="14" t="str">
        <x:v>英文</x:v>
      </x:c>
      <x:c r="E709" s="15" t="str">
        <x:v>未处理</x:v>
      </x:c>
      <x:c r="F709" s="15" t="str"/>
      <x:c r="G709" s="16" t="str">
        <x:v>https://github.com/Causal-LDA/TrialEmulation</x:v>
      </x:c>
      <x:c r="H709" s="14" t="str">
        <x:v>G15</x:v>
      </x:c>
      <x:c r="I709" s="14" t="str">
        <x:v>github.com</x:v>
      </x:c>
      <x:c r="J709" s="18" t="str"/>
      <x:c r="K709" s="14" t="str">
        <x:v>教材 / 说明书 / 网页</x:v>
      </x:c>
      <x:c r="L709" s="14" t="str">
        <x:v>选读</x:v>
      </x:c>
      <x:c r="M709" s="14" t="str">
        <x:v>以网页课程、在线章节或项目文档形式提供。</x:v>
      </x:c>
      <x:c r="N709" s="14" t="str">
        <x:v>打开官方入口，使用站点提供的下载功能；网页教程可继续在线使用。</x:v>
      </x:c>
      <x:c r="O709" s="14" t="str">
        <x:v>官方说明与使用示例。</x:v>
      </x:c>
      <x:c r="P709" s="14" t="str"/>
      <x:c r="Q709" s="14" t="str"/>
      <x:c r="R709" s="17"/>
      <x:c r="S709" s="14" t="str"/>
      <x:c r="T709" s="14" t="str"/>
      <x:c r="U709" s="19" t="n">
        <x:v>46303</x:v>
      </x:c>
    </x:row>
    <x:row r="710" ht="68" customHeight="1">
      <x:c r="A710" s="14" t="str">
        <x:v>D-CA711C02</x:v>
      </x:c>
      <x:c r="B710" s="14" t="str">
        <x:v>在线阅读</x:v>
      </x:c>
      <x:c r="C710" s="14" t="str">
        <x:v>The Effect · 第 10 章：Treatment Effects</x:v>
      </x:c>
      <x:c r="D710" s="14" t="str">
        <x:v>英文</x:v>
      </x:c>
      <x:c r="E710" s="15" t="str">
        <x:v>未处理</x:v>
      </x:c>
      <x:c r="F710" s="15" t="str"/>
      <x:c r="G710" s="16" t="str">
        <x:v>https://theeffectbook.net/ch-TreatmentEffects.html</x:v>
      </x:c>
      <x:c r="H710" s="14" t="str">
        <x:v>G16；O04</x:v>
      </x:c>
      <x:c r="I710" s="14" t="str">
        <x:v>Nick Huntington-Klein</x:v>
      </x:c>
      <x:c r="J710" s="18" t="str"/>
      <x:c r="K710" s="14" t="str">
        <x:v>教学</x:v>
      </x:c>
      <x:c r="L710" s="14" t="str">
        <x:v>选读</x:v>
      </x:c>
      <x:c r="M710" s="14" t="str">
        <x:v>以网页课程、在线章节或项目文档形式提供。</x:v>
      </x:c>
      <x:c r="N710" s="14" t="str">
        <x:v>打开官方入口，使用站点提供的下载功能；网页教程可继续在线使用。</x:v>
      </x:c>
      <x:c r="O710" s="14" t="str">
        <x:v>先写清 ATE、ATT 等目标量，再选择识别策略。</x:v>
      </x:c>
      <x:c r="P710" s="14" t="str"/>
      <x:c r="Q710" s="14" t="str"/>
      <x:c r="R710" s="17"/>
      <x:c r="S710" s="14" t="str"/>
      <x:c r="T710" s="14" t="str"/>
      <x:c r="U710" s="19" t="n">
        <x:v>46303</x:v>
      </x:c>
    </x:row>
    <x:row r="711" ht="68" customHeight="1">
      <x:c r="A711" s="14" t="str">
        <x:v>D-867D9D3C</x:v>
      </x:c>
      <x:c r="B711" s="14" t="str">
        <x:v>在线阅读</x:v>
      </x:c>
      <x:c r="C711" s="14" t="str">
        <x:v>Targeted Learning in R · The TMLE Framework</x:v>
      </x:c>
      <x:c r="D711" s="14" t="str">
        <x:v>英文</x:v>
      </x:c>
      <x:c r="E711" s="15" t="str">
        <x:v>未处理</x:v>
      </x:c>
      <x:c r="F711" s="15" t="str"/>
      <x:c r="G711" s="16" t="str">
        <x:v>https://tlverse.org/tlverse-handbook/tmle3.html</x:v>
      </x:c>
      <x:c r="H711" s="14" t="str">
        <x:v>G17</x:v>
      </x:c>
      <x:c r="I711" s="14" t="str">
        <x:v>tlverse 作者团队</x:v>
      </x:c>
      <x:c r="J711" s="18" t="str"/>
      <x:c r="K711" s="14" t="str">
        <x:v>教学</x:v>
      </x:c>
      <x:c r="L711" s="14" t="str">
        <x:v>选读</x:v>
      </x:c>
      <x:c r="M711" s="14" t="str">
        <x:v>以网页课程、在线章节或项目文档形式提供。</x:v>
      </x:c>
      <x:c r="N711" s="14" t="str">
        <x:v>打开官方入口，使用站点提供的下载功能；网页教程可继续在线使用。</x:v>
      </x:c>
      <x:c r="O711" s="14" t="str">
        <x:v>从目标参数、初始拟合到 targeting 与推断。</x:v>
      </x:c>
      <x:c r="P711" s="14" t="str"/>
      <x:c r="Q711" s="14" t="str"/>
      <x:c r="R711" s="17"/>
      <x:c r="S711" s="14" t="str"/>
      <x:c r="T711" s="14" t="str"/>
      <x:c r="U711" s="19" t="n">
        <x:v>46303</x:v>
      </x:c>
    </x:row>
    <x:row r="712" ht="68" customHeight="1">
      <x:c r="A712" s="14" t="str">
        <x:v>D-E8209739</x:v>
      </x:c>
      <x:c r="B712" s="14" t="str">
        <x:v>在线阅读</x:v>
      </x:c>
      <x:c r="C712" s="14" t="str">
        <x:v>gfoRmula · 作者代码仓库与示例</x:v>
      </x:c>
      <x:c r="D712" s="14" t="str">
        <x:v>英文</x:v>
      </x:c>
      <x:c r="E712" s="15" t="str">
        <x:v>未处理</x:v>
      </x:c>
      <x:c r="F712" s="15" t="str"/>
      <x:c r="G712" s="16" t="str">
        <x:v>https://github.com/CausalInference/gfoRmula</x:v>
      </x:c>
      <x:c r="H712" s="14" t="str">
        <x:v>G18；H12</x:v>
      </x:c>
      <x:c r="I712" s="14" t="str">
        <x:v>gfoRmula 开发者</x:v>
      </x:c>
      <x:c r="J712" s="18" t="str"/>
      <x:c r="K712" s="14" t="str">
        <x:v>教学</x:v>
      </x:c>
      <x:c r="L712" s="14" t="str">
        <x:v>选读</x:v>
      </x:c>
      <x:c r="M712" s="14" t="str">
        <x:v>以网页课程、在线章节或项目文档形式提供。</x:v>
      </x:c>
      <x:c r="N712" s="14" t="str">
        <x:v>打开官方入口，使用站点提供的下载功能；网页教程可继续在线使用。</x:v>
      </x:c>
      <x:c r="O712" s="14" t="str">
        <x:v>参数 g 公式的示例与干预定义；从 README 进入作者教程，与 ICE 计算路线作比较。</x:v>
      </x:c>
      <x:c r="P712" s="14" t="str"/>
      <x:c r="Q712" s="14" t="str"/>
      <x:c r="R712" s="17"/>
      <x:c r="S712" s="14" t="str"/>
      <x:c r="T712" s="14" t="str"/>
      <x:c r="U712" s="19" t="n">
        <x:v>46303</x:v>
      </x:c>
    </x:row>
    <x:row r="713" ht="68" customHeight="1">
      <x:c r="A713" s="14" t="str">
        <x:v>D-A1D74AC3</x:v>
      </x:c>
      <x:c r="B713" s="14" t="str">
        <x:v>在线阅读</x:v>
      </x:c>
      <x:c r="C713" s="14" t="str">
        <x:v>lifelines（Python）</x:v>
      </x:c>
      <x:c r="D713" s="14" t="str">
        <x:v>英文</x:v>
      </x:c>
      <x:c r="E713" s="15" t="str">
        <x:v>未处理</x:v>
      </x:c>
      <x:c r="F713" s="15" t="str"/>
      <x:c r="G713" s="16" t="str">
        <x:v>https://lifelines.readthedocs.io/</x:v>
      </x:c>
      <x:c r="H713" s="14" t="str">
        <x:v>H01</x:v>
      </x:c>
      <x:c r="I713" s="14" t="str">
        <x:v>方法/软件项目</x:v>
      </x:c>
      <x:c r="J713" s="18" t="str"/>
      <x:c r="K713" s="14" t="str">
        <x:v>教材 / 说明书 / 网页</x:v>
      </x:c>
      <x:c r="L713" s="14" t="str">
        <x:v>选读</x:v>
      </x:c>
      <x:c r="M713" s="14" t="str">
        <x:v>以网页课程、在线章节或项目文档形式提供。</x:v>
      </x:c>
      <x:c r="N713" s="14" t="str">
        <x:v>打开官方入口，使用站点提供的下载功能；网页教程可继续在线使用。</x:v>
      </x:c>
      <x:c r="O713" s="14" t="str">
        <x:v>本条目的方法说明、参数、示例或诊断入口。</x:v>
      </x:c>
      <x:c r="P713" s="14" t="str"/>
      <x:c r="Q713" s="14" t="str"/>
      <x:c r="R713" s="17"/>
      <x:c r="S713" s="14" t="str"/>
      <x:c r="T713" s="14" t="str"/>
      <x:c r="U713" s="19" t="n">
        <x:v>46303</x:v>
      </x:c>
    </x:row>
    <x:row r="714" ht="68" customHeight="1">
      <x:c r="A714" s="14" t="str">
        <x:v>D-8ECA8C0F</x:v>
      </x:c>
      <x:c r="B714" s="14" t="str">
        <x:v>在线阅读</x:v>
      </x:c>
      <x:c r="C714" s="14" t="str">
        <x:v>survival 包</x:v>
      </x:c>
      <x:c r="D714" s="14" t="str">
        <x:v>英文</x:v>
      </x:c>
      <x:c r="E714" s="15" t="str">
        <x:v>未处理</x:v>
      </x:c>
      <x:c r="F714" s="15" t="str"/>
      <x:c r="G714" s="16" t="str">
        <x:v>https://cran.r-project.org/package=survival</x:v>
      </x:c>
      <x:c r="H714" s="14" t="str">
        <x:v>H01</x:v>
      </x:c>
      <x:c r="I714" s="14" t="str">
        <x:v>方法/软件项目</x:v>
      </x:c>
      <x:c r="J714" s="18" t="str"/>
      <x:c r="K714" s="14" t="str">
        <x:v>教材 / 说明书 / 网页</x:v>
      </x:c>
      <x:c r="L714" s="14" t="str">
        <x:v>选读</x:v>
      </x:c>
      <x:c r="M714" s="14" t="str">
        <x:v>以网页课程、在线章节或项目文档形式提供。</x:v>
      </x:c>
      <x:c r="N714" s="14" t="str">
        <x:v>打开官方入口，使用站点提供的下载功能；网页教程可继续在线使用。</x:v>
      </x:c>
      <x:c r="O714" s="14" t="str">
        <x:v>本条目的方法说明、参数、示例或诊断入口。</x:v>
      </x:c>
      <x:c r="P714" s="14" t="str"/>
      <x:c r="Q714" s="14" t="str"/>
      <x:c r="R714" s="17"/>
      <x:c r="S714" s="14" t="str"/>
      <x:c r="T714" s="14" t="str"/>
      <x:c r="U714" s="19" t="n">
        <x:v>46303</x:v>
      </x:c>
    </x:row>
    <x:row r="715" ht="68" customHeight="1">
      <x:c r="A715" s="14" t="str">
        <x:v>D-CB0CD9CB</x:v>
      </x:c>
      <x:c r="B715" s="14" t="str">
        <x:v>在线阅读</x:v>
      </x:c>
      <x:c r="C715" s="14" t="str">
        <x:v>survminer（生存曲线可视化）</x:v>
      </x:c>
      <x:c r="D715" s="14" t="str">
        <x:v>英文</x:v>
      </x:c>
      <x:c r="E715" s="15" t="str">
        <x:v>未处理</x:v>
      </x:c>
      <x:c r="F715" s="15" t="str"/>
      <x:c r="G715" s="16" t="str">
        <x:v>https://rpkgs.datanovia.com/survminer/</x:v>
      </x:c>
      <x:c r="H715" s="14" t="str">
        <x:v>H01</x:v>
      </x:c>
      <x:c r="I715" s="14" t="str">
        <x:v>方法/软件项目</x:v>
      </x:c>
      <x:c r="J715" s="18" t="str"/>
      <x:c r="K715" s="14" t="str">
        <x:v>教材 / 说明书 / 网页</x:v>
      </x:c>
      <x:c r="L715" s="14" t="str">
        <x:v>选读</x:v>
      </x:c>
      <x:c r="M715" s="14" t="str">
        <x:v>以网页课程、在线章节或项目文档形式提供。</x:v>
      </x:c>
      <x:c r="N715" s="14" t="str">
        <x:v>打开官方入口，使用站点提供的下载功能；网页教程可继续在线使用。</x:v>
      </x:c>
      <x:c r="O715" s="14" t="str">
        <x:v>本条目的方法说明、参数、示例或诊断入口。</x:v>
      </x:c>
      <x:c r="P715" s="14" t="str"/>
      <x:c r="Q715" s="14" t="str"/>
      <x:c r="R715" s="17"/>
      <x:c r="S715" s="14" t="str"/>
      <x:c r="T715" s="14" t="str"/>
      <x:c r="U715" s="19" t="n">
        <x:v>46303</x:v>
      </x:c>
    </x:row>
    <x:row r="716" ht="68" customHeight="1">
      <x:c r="A716" s="14" t="str">
        <x:v>D-4267AD36</x:v>
      </x:c>
      <x:c r="B716" s="14" t="str">
        <x:v>在线阅读</x:v>
      </x:c>
      <x:c r="C716" s="14" t="str">
        <x:v>ALDA 官方配套站：作者讲座录像与各章 PPT</x:v>
      </x:c>
      <x:c r="D716" s="14" t="str">
        <x:v>英文</x:v>
      </x:c>
      <x:c r="E716" s="15" t="str">
        <x:v>未处理</x:v>
      </x:c>
      <x:c r="F716" s="15" t="str"/>
      <x:c r="G716" s="16" t="str">
        <x:v>https://gseacademic.harvard.edu/alda/</x:v>
      </x:c>
      <x:c r="H716" s="14" t="str">
        <x:v>H01；H02</x:v>
      </x:c>
      <x:c r="I716" s="14" t="str">
        <x:v>Judith Singer &amp; John Willett（哈佛教育学院）</x:v>
      </x:c>
      <x:c r="J716" s="18" t="str"/>
      <x:c r="K716" s="14" t="str">
        <x:v>教材 / 说明书 / 网页</x:v>
      </x:c>
      <x:c r="L716" s="14" t="str">
        <x:v>选读</x:v>
      </x:c>
      <x:c r="M716" s="14" t="str">
        <x:v>以网页课程、在线章节或项目文档形式提供。</x:v>
      </x:c>
      <x:c r="N716" s="14" t="str">
        <x:v>打开官方入口，使用站点提供的下载功能；网页教程可继续在线使用。</x:v>
      </x:c>
      <x:c r="O716" s="14" t="str">
        <x:v>生存分析部分（第 10–15 章）的讲座录像与讲义免费开放，是社会科学取向而非医学取向的讲法</x:v>
      </x:c>
      <x:c r="P716" s="14" t="str"/>
      <x:c r="Q716" s="14" t="str"/>
      <x:c r="R716" s="17"/>
      <x:c r="S716" s="14" t="str"/>
      <x:c r="T716" s="14" t="str"/>
      <x:c r="U716" s="19" t="n">
        <x:v>46303</x:v>
      </x:c>
    </x:row>
    <x:row r="717" ht="68" customHeight="1">
      <x:c r="A717" s="14" t="str">
        <x:v>D-3E65A22E</x:v>
      </x:c>
      <x:c r="B717" s="14" t="str">
        <x:v>在线阅读</x:v>
      </x:c>
      <x:c r="C717" s="14" t="str">
        <x:v>Singer &amp; Willett 教材数据集（Bristol 多层模型中心镜像）</x:v>
      </x:c>
      <x:c r="D717" s="14" t="str">
        <x:v>英文</x:v>
      </x:c>
      <x:c r="E717" s="15" t="str">
        <x:v>未处理</x:v>
      </x:c>
      <x:c r="F717" s="15" t="str"/>
      <x:c r="G717" s="16" t="str">
        <x:v>https://www.bristol.ac.uk/cmm/learning/support/singer-willett.html</x:v>
      </x:c>
      <x:c r="H717" s="14" t="str">
        <x:v>H01；H02</x:v>
      </x:c>
      <x:c r="I717" s="14" t="str">
        <x:v>www.bristol.ac.uk</x:v>
      </x:c>
      <x:c r="J717" s="18" t="str"/>
      <x:c r="K717" s="14" t="str">
        <x:v>教材 / 说明书 / 网页</x:v>
      </x:c>
      <x:c r="L717" s="14" t="str">
        <x:v>选读</x:v>
      </x:c>
      <x:c r="M717" s="14" t="str">
        <x:v>以网页课程、在线章节或项目文档形式提供。</x:v>
      </x:c>
      <x:c r="N717" s="14" t="str">
        <x:v>打开官方入口，使用站点提供的下载功能；网页教程可继续在线使用。</x:v>
      </x:c>
      <x:c r="O717" s="14" t="str">
        <x:v>官方说明与使用示例。</x:v>
      </x:c>
      <x:c r="P717" s="14" t="str"/>
      <x:c r="Q717" s="14" t="str"/>
      <x:c r="R717" s="17"/>
      <x:c r="S717" s="14" t="str"/>
      <x:c r="T717" s="14" t="str"/>
      <x:c r="U717" s="19" t="n">
        <x:v>46303</x:v>
      </x:c>
    </x:row>
    <x:row r="718" ht="68" customHeight="1">
      <x:c r="A718" s="14" t="str">
        <x:v>D-3A709CC3</x:v>
      </x:c>
      <x:c r="B718" s="14" t="str">
        <x:v>在线阅读</x:v>
      </x:c>
      <x:c r="C718" s="14" t="str">
        <x:v>ctsem documentation and examples</x:v>
      </x:c>
      <x:c r="D718" s="14" t="str">
        <x:v>英文</x:v>
      </x:c>
      <x:c r="E718" s="15" t="str">
        <x:v>未处理</x:v>
      </x:c>
      <x:c r="F718" s="15" t="str"/>
      <x:c r="G718" s="16" t="str">
        <x:v>https://github.com/cdriveraus/ctsem</x:v>
      </x:c>
      <x:c r="H718" s="14" t="str">
        <x:v>H01；H02；H03；H04；H05；H06；H07；H08；H09</x:v>
      </x:c>
      <x:c r="I718" s="14" t="str">
        <x:v>ctsem project</x:v>
      </x:c>
      <x:c r="J718" s="18" t="str"/>
      <x:c r="K718" s="14" t="str">
        <x:v>教材 / 说明书 / 网页</x:v>
      </x:c>
      <x:c r="L718" s="14" t="str">
        <x:v>选读</x:v>
      </x:c>
      <x:c r="M718" s="14" t="str">
        <x:v>以网页课程、在线章节或项目文档形式提供。</x:v>
      </x:c>
      <x:c r="N718" s="14" t="str">
        <x:v>打开官方入口，使用站点提供的下载功能；网页教程可继续在线使用。</x:v>
      </x:c>
      <x:c r="O718" s="14" t="str">
        <x:v>连续时间模型、层级扩展、模拟和预测的文档与示例。</x:v>
      </x:c>
      <x:c r="P718" s="14" t="str"/>
      <x:c r="Q718" s="14" t="str"/>
      <x:c r="R718" s="17"/>
      <x:c r="S718" s="14" t="str"/>
      <x:c r="T718" s="14" t="str"/>
      <x:c r="U718" s="19" t="n">
        <x:v>46303</x:v>
      </x:c>
    </x:row>
    <x:row r="719" ht="68" customHeight="1">
      <x:c r="A719" s="14" t="str">
        <x:v>D-DEC09682</x:v>
      </x:c>
      <x:c r="B719" s="14" t="str">
        <x:v>在线阅读</x:v>
      </x:c>
      <x:c r="C719" s="14" t="str">
        <x:v>Forecasting: Principles and Practice (3e)</x:v>
      </x:c>
      <x:c r="D719" s="14" t="str">
        <x:v>英文</x:v>
      </x:c>
      <x:c r="E719" s="15" t="str">
        <x:v>未处理</x:v>
      </x:c>
      <x:c r="F719" s="15" t="str"/>
      <x:c r="G719" s="16" t="str">
        <x:v>https://otexts.com/fpp3/</x:v>
      </x:c>
      <x:c r="H719" s="14" t="str">
        <x:v>H01；H02；H03；H04；H05；H06；H07；H08；H09</x:v>
      </x:c>
      <x:c r="I719" s="14" t="str">
        <x:v>Monash University / OTexts</x:v>
      </x:c>
      <x:c r="J719" s="18" t="str"/>
      <x:c r="K719" s="14" t="str">
        <x:v>教材 / 说明书 / 网页</x:v>
      </x:c>
      <x:c r="L719" s="14" t="str">
        <x:v>选读</x:v>
      </x:c>
      <x:c r="M719" s="14" t="str">
        <x:v>以网页课程、在线章节或项目文档形式提供。</x:v>
      </x:c>
      <x:c r="N719" s="14" t="str">
        <x:v>打开官方入口，使用站点提供的下载功能；网页教程可继续在线使用。</x:v>
      </x:c>
      <x:c r="O719" s="14" t="str">
        <x:v>时间序列探索、ARIMA、指数平滑、回归与预测评估；含 R 代码。</x:v>
      </x:c>
      <x:c r="P719" s="14" t="str"/>
      <x:c r="Q719" s="14" t="str"/>
      <x:c r="R719" s="17"/>
      <x:c r="S719" s="14" t="str"/>
      <x:c r="T719" s="14" t="str"/>
      <x:c r="U719" s="19" t="n">
        <x:v>46303</x:v>
      </x:c>
    </x:row>
    <x:row r="720" ht="68" customHeight="1">
      <x:c r="A720" s="14" t="str">
        <x:v>D-71FE3A51</x:v>
      </x:c>
      <x:c r="B720" s="14" t="str">
        <x:v>在线阅读</x:v>
      </x:c>
      <x:c r="C720" s="14" t="str">
        <x:v>STAT 510: Applied Time Series Analysis</x:v>
      </x:c>
      <x:c r="D720" s="14" t="str">
        <x:v>英文</x:v>
      </x:c>
      <x:c r="E720" s="15" t="str">
        <x:v>未处理</x:v>
      </x:c>
      <x:c r="F720" s="15" t="str"/>
      <x:c r="G720" s="16" t="str">
        <x:v>https://online.stat.psu.edu/stat510/</x:v>
      </x:c>
      <x:c r="H720" s="14" t="str">
        <x:v>H01；H02；H03；H04；H05；H06；H07；H08；H09</x:v>
      </x:c>
      <x:c r="I720" s="14" t="str">
        <x:v>Penn State Statistics</x:v>
      </x:c>
      <x:c r="J720" s="18" t="str"/>
      <x:c r="K720" s="14" t="str">
        <x:v>教材 / 说明书 / 网页</x:v>
      </x:c>
      <x:c r="L720" s="14" t="str">
        <x:v>选读</x:v>
      </x:c>
      <x:c r="M720" s="14" t="str">
        <x:v>以网页课程、在线章节或项目文档形式提供。</x:v>
      </x:c>
      <x:c r="N720" s="14" t="str">
        <x:v>打开官方入口，使用站点提供的下载功能；网页教程可继续在线使用。</x:v>
      </x:c>
      <x:c r="O720" s="14" t="str">
        <x:v>ACF/PACF、ARIMA、干预、VAR、纵向与频域分析。</x:v>
      </x:c>
      <x:c r="P720" s="14" t="str"/>
      <x:c r="Q720" s="14" t="str"/>
      <x:c r="R720" s="17"/>
      <x:c r="S720" s="14" t="str"/>
      <x:c r="T720" s="14" t="str"/>
      <x:c r="U720" s="19" t="n">
        <x:v>46303</x:v>
      </x:c>
    </x:row>
    <x:row r="721" ht="68" customHeight="1">
      <x:c r="A721" s="14" t="str">
        <x:v>D-154AB81A</x:v>
      </x:c>
      <x:c r="B721" s="14" t="str">
        <x:v>在线阅读</x:v>
      </x:c>
      <x:c r="C721" s="14" t="str">
        <x:v>Singer &amp; Willett 教材配套数据与代码</x:v>
      </x:c>
      <x:c r="D721" s="14" t="str">
        <x:v>英文</x:v>
      </x:c>
      <x:c r="E721" s="15" t="str">
        <x:v>未处理</x:v>
      </x:c>
      <x:c r="F721" s="15" t="str"/>
      <x:c r="G721" s="16" t="str">
        <x:v>https://stats.oarc.ucla.edu/other/examples/alda/</x:v>
      </x:c>
      <x:c r="H721" s="14" t="str">
        <x:v>H02</x:v>
      </x:c>
      <x:c r="I721" s="14" t="str">
        <x:v>方法/软件项目</x:v>
      </x:c>
      <x:c r="J721" s="18" t="str"/>
      <x:c r="K721" s="14" t="str">
        <x:v>教材 / 说明书 / 网页</x:v>
      </x:c>
      <x:c r="L721" s="14" t="str">
        <x:v>选读</x:v>
      </x:c>
      <x:c r="M721" s="14" t="str">
        <x:v>以网页课程、在线章节或项目文档形式提供。</x:v>
      </x:c>
      <x:c r="N721" s="14" t="str">
        <x:v>打开官方入口，使用站点提供的下载功能；网页教程可继续在线使用。</x:v>
      </x:c>
      <x:c r="O721" s="14" t="str">
        <x:v>本条目的方法说明、参数、示例或诊断入口。</x:v>
      </x:c>
      <x:c r="P721" s="14" t="str"/>
      <x:c r="Q721" s="14" t="str"/>
      <x:c r="R721" s="17"/>
      <x:c r="S721" s="14" t="str"/>
      <x:c r="T721" s="14" t="str"/>
      <x:c r="U721" s="19" t="n">
        <x:v>46303</x:v>
      </x:c>
    </x:row>
    <x:row r="722" ht="68" customHeight="1">
      <x:c r="A722" s="14" t="str">
        <x:v>D-F392EA19</x:v>
      </x:c>
      <x:c r="B722" s="14" t="str">
        <x:v>在线阅读</x:v>
      </x:c>
      <x:c r="C722" s="14" t="str">
        <x:v>tidycmprsk 包</x:v>
      </x:c>
      <x:c r="D722" s="14" t="str">
        <x:v>英文</x:v>
      </x:c>
      <x:c r="E722" s="15" t="str">
        <x:v>未处理</x:v>
      </x:c>
      <x:c r="F722" s="15" t="str"/>
      <x:c r="G722" s="16" t="str">
        <x:v>https://mskcc-epi-bio.github.io/tidycmprsk/</x:v>
      </x:c>
      <x:c r="H722" s="14" t="str">
        <x:v>H02</x:v>
      </x:c>
      <x:c r="I722" s="14" t="str">
        <x:v>方法/软件项目</x:v>
      </x:c>
      <x:c r="J722" s="18" t="str"/>
      <x:c r="K722" s="14" t="str">
        <x:v>教材 / 说明书 / 网页</x:v>
      </x:c>
      <x:c r="L722" s="14" t="str">
        <x:v>选读</x:v>
      </x:c>
      <x:c r="M722" s="14" t="str">
        <x:v>以网页课程、在线章节或项目文档形式提供。</x:v>
      </x:c>
      <x:c r="N722" s="14" t="str">
        <x:v>打开官方入口，使用站点提供的下载功能；网页教程可继续在线使用。</x:v>
      </x:c>
      <x:c r="O722" s="14" t="str">
        <x:v>本条目的方法说明、参数、示例或诊断入口。</x:v>
      </x:c>
      <x:c r="P722" s="14" t="str"/>
      <x:c r="Q722" s="14" t="str"/>
      <x:c r="R722" s="17"/>
      <x:c r="S722" s="14" t="str"/>
      <x:c r="T722" s="14" t="str"/>
      <x:c r="U722" s="19" t="n">
        <x:v>46303</x:v>
      </x:c>
    </x:row>
    <x:row r="723" ht="68" customHeight="1">
      <x:c r="A723" s="14" t="str">
        <x:v>D-5942DC58</x:v>
      </x:c>
      <x:c r="B723" s="14" t="str">
        <x:v>在线阅读</x:v>
      </x:c>
      <x:c r="C723" s="14" t="str">
        <x:v>forecast 包</x:v>
      </x:c>
      <x:c r="D723" s="14" t="str">
        <x:v>英文</x:v>
      </x:c>
      <x:c r="E723" s="15" t="str">
        <x:v>未处理</x:v>
      </x:c>
      <x:c r="F723" s="15" t="str"/>
      <x:c r="G723" s="16" t="str">
        <x:v>https://pkg.robjhyndman.com/forecast/</x:v>
      </x:c>
      <x:c r="H723" s="14" t="str">
        <x:v>H03</x:v>
      </x:c>
      <x:c r="I723" s="14" t="str">
        <x:v>方法/软件项目</x:v>
      </x:c>
      <x:c r="J723" s="18" t="str"/>
      <x:c r="K723" s="14" t="str">
        <x:v>教材 / 说明书 / 网页</x:v>
      </x:c>
      <x:c r="L723" s="14" t="str">
        <x:v>选读</x:v>
      </x:c>
      <x:c r="M723" s="14" t="str">
        <x:v>以网页课程、在线章节或项目文档形式提供。</x:v>
      </x:c>
      <x:c r="N723" s="14" t="str">
        <x:v>打开官方入口，使用站点提供的下载功能；网页教程可继续在线使用。</x:v>
      </x:c>
      <x:c r="O723" s="14" t="str">
        <x:v>本条目的方法说明、参数、示例或诊断入口。</x:v>
      </x:c>
      <x:c r="P723" s="14" t="str"/>
      <x:c r="Q723" s="14" t="str"/>
      <x:c r="R723" s="17"/>
      <x:c r="S723" s="14" t="str"/>
      <x:c r="T723" s="14" t="str"/>
      <x:c r="U723" s="19" t="n">
        <x:v>46303</x:v>
      </x:c>
    </x:row>
    <x:row r="724" ht="68" customHeight="1">
      <x:c r="A724" s="14" t="str">
        <x:v>D-F9A4E44C</x:v>
      </x:c>
      <x:c r="B724" s="14" t="str">
        <x:v>在线阅读</x:v>
      </x:c>
      <x:c r="C724" s="14" t="str">
        <x:v>fpp3 · ARIMA 章节</x:v>
      </x:c>
      <x:c r="D724" s="14" t="str">
        <x:v>英文</x:v>
      </x:c>
      <x:c r="E724" s="15" t="str">
        <x:v>未处理</x:v>
      </x:c>
      <x:c r="F724" s="15" t="str"/>
      <x:c r="G724" s="16" t="str">
        <x:v>https://otexts.com/fpp3/arima.html</x:v>
      </x:c>
      <x:c r="H724" s="14" t="str">
        <x:v>H03</x:v>
      </x:c>
      <x:c r="I724" s="14" t="str">
        <x:v>otexts.com</x:v>
      </x:c>
      <x:c r="J724" s="18" t="str"/>
      <x:c r="K724" s="14" t="str">
        <x:v>教材 / 说明书 / 网页</x:v>
      </x:c>
      <x:c r="L724" s="14" t="str">
        <x:v>选读</x:v>
      </x:c>
      <x:c r="M724" s="14" t="str">
        <x:v>以网页课程、在线章节或项目文档形式提供。</x:v>
      </x:c>
      <x:c r="N724" s="14" t="str">
        <x:v>打开官方入口，使用站点提供的下载功能；网页教程可继续在线使用。</x:v>
      </x:c>
      <x:c r="O724" s="14" t="str">
        <x:v>官方说明与使用示例。</x:v>
      </x:c>
      <x:c r="P724" s="14" t="str"/>
      <x:c r="Q724" s="14" t="str"/>
      <x:c r="R724" s="17"/>
      <x:c r="S724" s="14" t="str"/>
      <x:c r="T724" s="14" t="str"/>
      <x:c r="U724" s="19" t="n">
        <x:v>46303</x:v>
      </x:c>
    </x:row>
    <x:row r="725" ht="68" customHeight="1">
      <x:c r="A725" s="14" t="str">
        <x:v>D-18E5CA9C</x:v>
      </x:c>
      <x:c r="B725" s="14" t="str">
        <x:v>在线阅读</x:v>
      </x:c>
      <x:c r="C725" s="14" t="str">
        <x:v>R语言教程 · 39 R时间序列分析</x:v>
      </x:c>
      <x:c r="D725" s="14" t="str">
        <x:v>中文</x:v>
      </x:c>
      <x:c r="E725" s="15" t="str">
        <x:v>未处理</x:v>
      </x:c>
      <x:c r="F725" s="15" t="str"/>
      <x:c r="G725" s="16" t="str">
        <x:v>https://math.pku.edu.cn/teachers/lidf/docs/Rbook/html/_Rbook/stat-tsa.html</x:v>
      </x:c>
      <x:c r="H725" s="14" t="str">
        <x:v>H03；H04</x:v>
      </x:c>
      <x:c r="I725" s="14" t="str">
        <x:v>李东风 · 北京大学</x:v>
      </x:c>
      <x:c r="J725" s="18" t="str"/>
      <x:c r="K725" s="14" t="str">
        <x:v>教材 / 说明书 / 网页</x:v>
      </x:c>
      <x:c r="L725" s="14" t="str">
        <x:v>选读</x:v>
      </x:c>
      <x:c r="M725" s="14" t="str">
        <x:v>以网页课程、在线章节或项目文档形式提供。</x:v>
      </x:c>
      <x:c r="N725" s="14" t="str">
        <x:v>打开官方入口，使用站点提供的下载功能；网页教程可继续在线使用。</x:v>
      </x:c>
      <x:c r="O725" s="14" t="str">
        <x:v>作者课程讲义，含 R 示例与章节练习。</x:v>
      </x:c>
      <x:c r="P725" s="14" t="str"/>
      <x:c r="Q725" s="14" t="str"/>
      <x:c r="R725" s="17"/>
      <x:c r="S725" s="14" t="str"/>
      <x:c r="T725" s="14" t="str"/>
      <x:c r="U725" s="19" t="n">
        <x:v>46303</x:v>
      </x:c>
    </x:row>
    <x:row r="726" ht="68" customHeight="1">
      <x:c r="A726" s="14" t="str">
        <x:v>D-F7FFED9D</x:v>
      </x:c>
      <x:c r="B726" s="14" t="str">
        <x:v>在线阅读</x:v>
      </x:c>
      <x:c r="C726" s="14" t="str">
        <x:v>动手学深度学习 · 循环神经网络</x:v>
      </x:c>
      <x:c r="D726" s="14" t="str">
        <x:v>中文</x:v>
      </x:c>
      <x:c r="E726" s="15" t="str">
        <x:v>未处理</x:v>
      </x:c>
      <x:c r="F726" s="15" t="str"/>
      <x:c r="G726" s="16" t="str">
        <x:v>https://zh-v2.d2l.ai/chapter_recurrent-neural-networks/rnn.html</x:v>
      </x:c>
      <x:c r="H726" s="14" t="str">
        <x:v>H03；H04；N09</x:v>
      </x:c>
      <x:c r="I726" s="14" t="str">
        <x:v>张阿斯顿、李沐等</x:v>
      </x:c>
      <x:c r="J726" s="18" t="str"/>
      <x:c r="K726" s="14" t="str">
        <x:v>教材 / 说明书 / 网页</x:v>
      </x:c>
      <x:c r="L726" s="14" t="str">
        <x:v>选读</x:v>
      </x:c>
      <x:c r="M726" s="14" t="str">
        <x:v>以网页课程、在线章节或项目文档形式提供。</x:v>
      </x:c>
      <x:c r="N726" s="14" t="str">
        <x:v>打开官方入口，使用站点提供的下载功能；网页教程可继续在线使用。</x:v>
      </x:c>
      <x:c r="O726" s="14" t="str">
        <x:v>作者开放教材章节，含代码和练习。</x:v>
      </x:c>
      <x:c r="P726" s="14" t="str"/>
      <x:c r="Q726" s="14" t="str"/>
      <x:c r="R726" s="17"/>
      <x:c r="S726" s="14" t="str"/>
      <x:c r="T726" s="14" t="str"/>
      <x:c r="U726" s="19" t="n">
        <x:v>46303</x:v>
      </x:c>
    </x:row>
    <x:row r="727" ht="68" customHeight="1">
      <x:c r="A727" s="14" t="str">
        <x:v>D-22E5F723</x:v>
      </x:c>
      <x:c r="B727" s="14" t="str">
        <x:v>在线阅读</x:v>
      </x:c>
      <x:c r="C727" s="14" t="str">
        <x:v>graphicalVAR 包</x:v>
      </x:c>
      <x:c r="D727" s="14" t="str">
        <x:v>英文</x:v>
      </x:c>
      <x:c r="E727" s="15" t="str">
        <x:v>未处理</x:v>
      </x:c>
      <x:c r="F727" s="15" t="str"/>
      <x:c r="G727" s="16" t="str">
        <x:v>https://cran.r-project.org/package=graphicalVAR</x:v>
      </x:c>
      <x:c r="H727" s="14" t="str">
        <x:v>H04</x:v>
      </x:c>
      <x:c r="I727" s="14" t="str">
        <x:v>方法/软件项目</x:v>
      </x:c>
      <x:c r="J727" s="18" t="str"/>
      <x:c r="K727" s="14" t="str">
        <x:v>教材 / 说明书 / 网页</x:v>
      </x:c>
      <x:c r="L727" s="14" t="str">
        <x:v>选读</x:v>
      </x:c>
      <x:c r="M727" s="14" t="str">
        <x:v>以网页课程、在线章节或项目文档形式提供。</x:v>
      </x:c>
      <x:c r="N727" s="14" t="str">
        <x:v>打开官方入口，使用站点提供的下载功能；网页教程可继续在线使用。</x:v>
      </x:c>
      <x:c r="O727" s="14" t="str">
        <x:v>本条目的方法说明、参数、示例或诊断入口。</x:v>
      </x:c>
      <x:c r="P727" s="14" t="str"/>
      <x:c r="Q727" s="14" t="str"/>
      <x:c r="R727" s="17"/>
      <x:c r="S727" s="14" t="str"/>
      <x:c r="T727" s="14" t="str"/>
      <x:c r="U727" s="19" t="n">
        <x:v>46303</x:v>
      </x:c>
    </x:row>
    <x:row r="728" ht="68" customHeight="1">
      <x:c r="A728" s="14" t="str">
        <x:v>D-27979574</x:v>
      </x:c>
      <x:c r="B728" s="14" t="str">
        <x:v>在线阅读</x:v>
      </x:c>
      <x:c r="C728" s="14" t="str">
        <x:v>vars 包</x:v>
      </x:c>
      <x:c r="D728" s="14" t="str">
        <x:v>英文</x:v>
      </x:c>
      <x:c r="E728" s="15" t="str">
        <x:v>未处理</x:v>
      </x:c>
      <x:c r="F728" s="15" t="str"/>
      <x:c r="G728" s="16" t="str">
        <x:v>https://cran.r-project.org/package=vars</x:v>
      </x:c>
      <x:c r="H728" s="14" t="str">
        <x:v>H04</x:v>
      </x:c>
      <x:c r="I728" s="14" t="str">
        <x:v>方法/软件项目</x:v>
      </x:c>
      <x:c r="J728" s="18" t="str"/>
      <x:c r="K728" s="14" t="str">
        <x:v>教材 / 说明书 / 网页</x:v>
      </x:c>
      <x:c r="L728" s="14" t="str">
        <x:v>选读</x:v>
      </x:c>
      <x:c r="M728" s="14" t="str">
        <x:v>以网页课程、在线章节或项目文档形式提供。</x:v>
      </x:c>
      <x:c r="N728" s="14" t="str">
        <x:v>打开官方入口，使用站点提供的下载功能；网页教程可继续在线使用。</x:v>
      </x:c>
      <x:c r="O728" s="14" t="str">
        <x:v>本条目的方法说明、参数、示例或诊断入口。</x:v>
      </x:c>
      <x:c r="P728" s="14" t="str"/>
      <x:c r="Q728" s="14" t="str"/>
      <x:c r="R728" s="17"/>
      <x:c r="S728" s="14" t="str"/>
      <x:c r="T728" s="14" t="str"/>
      <x:c r="U728" s="19" t="n">
        <x:v>46303</x:v>
      </x:c>
    </x:row>
    <x:row r="729" ht="68" customHeight="1">
      <x:c r="A729" s="14" t="str">
        <x:v>D-2DD3FD6D</x:v>
      </x:c>
      <x:c r="B729" s="14" t="str">
        <x:v>在线阅读</x:v>
      </x:c>
      <x:c r="C729" s="14" t="str">
        <x:v>CausalImpact 包（Google）</x:v>
      </x:c>
      <x:c r="D729" s="14" t="str">
        <x:v>英文</x:v>
      </x:c>
      <x:c r="E729" s="15" t="str">
        <x:v>未处理</x:v>
      </x:c>
      <x:c r="F729" s="15" t="str"/>
      <x:c r="G729" s="16" t="str">
        <x:v>https://google.github.io/CausalImpact/</x:v>
      </x:c>
      <x:c r="H729" s="14" t="str">
        <x:v>H05</x:v>
      </x:c>
      <x:c r="I729" s="14" t="str">
        <x:v>方法/软件项目</x:v>
      </x:c>
      <x:c r="J729" s="18" t="str"/>
      <x:c r="K729" s="14" t="str">
        <x:v>教材 / 说明书 / 网页</x:v>
      </x:c>
      <x:c r="L729" s="14" t="str">
        <x:v>选读</x:v>
      </x:c>
      <x:c r="M729" s="14" t="str">
        <x:v>以网页课程、在线章节或项目文档形式提供。</x:v>
      </x:c>
      <x:c r="N729" s="14" t="str">
        <x:v>打开官方入口，使用站点提供的下载功能；网页教程可继续在线使用。</x:v>
      </x:c>
      <x:c r="O729" s="14" t="str">
        <x:v>本条目的方法说明、参数、示例或诊断入口。</x:v>
      </x:c>
      <x:c r="P729" s="14" t="str"/>
      <x:c r="Q729" s="14" t="str"/>
      <x:c r="R729" s="17"/>
      <x:c r="S729" s="14" t="str"/>
      <x:c r="T729" s="14" t="str"/>
      <x:c r="U729" s="19" t="n">
        <x:v>46303</x:v>
      </x:c>
    </x:row>
    <x:row r="730" ht="68" customHeight="1">
      <x:c r="A730" s="14" t="str">
        <x:v>D-37D05E77</x:v>
      </x:c>
      <x:c r="B730" s="14" t="str">
        <x:v>在线阅读</x:v>
      </x:c>
      <x:c r="C730" s="14" t="str">
        <x:v>nlme 包（gls 与相关结构）</x:v>
      </x:c>
      <x:c r="D730" s="14" t="str">
        <x:v>英文</x:v>
      </x:c>
      <x:c r="E730" s="15" t="str">
        <x:v>未处理</x:v>
      </x:c>
      <x:c r="F730" s="15" t="str"/>
      <x:c r="G730" s="16" t="str">
        <x:v>https://cran.r-project.org/package=nlme</x:v>
      </x:c>
      <x:c r="H730" s="14" t="str">
        <x:v>H05</x:v>
      </x:c>
      <x:c r="I730" s="14" t="str">
        <x:v>方法/软件项目</x:v>
      </x:c>
      <x:c r="J730" s="18" t="str"/>
      <x:c r="K730" s="14" t="str">
        <x:v>教材 / 说明书 / 网页</x:v>
      </x:c>
      <x:c r="L730" s="14" t="str">
        <x:v>选读</x:v>
      </x:c>
      <x:c r="M730" s="14" t="str">
        <x:v>以网页课程、在线章节或项目文档形式提供。</x:v>
      </x:c>
      <x:c r="N730" s="14" t="str">
        <x:v>打开官方入口，使用站点提供的下载功能；网页教程可继续在线使用。</x:v>
      </x:c>
      <x:c r="O730" s="14" t="str">
        <x:v>本条目的方法说明、参数、示例或诊断入口。</x:v>
      </x:c>
      <x:c r="P730" s="14" t="str"/>
      <x:c r="Q730" s="14" t="str"/>
      <x:c r="R730" s="17"/>
      <x:c r="S730" s="14" t="str"/>
      <x:c r="T730" s="14" t="str"/>
      <x:c r="U730" s="19" t="n">
        <x:v>46303</x:v>
      </x:c>
    </x:row>
    <x:row r="731" ht="68" customHeight="1">
      <x:c r="A731" s="14" t="str">
        <x:v>D-9F2AF998</x:v>
      </x:c>
      <x:c r="B731" s="14" t="str">
        <x:v>在线阅读</x:v>
      </x:c>
      <x:c r="C731" s="14" t="str">
        <x:v>Bolger &amp; Laurenceau 教材配套站</x:v>
      </x:c>
      <x:c r="D731" s="14" t="str">
        <x:v>英文</x:v>
      </x:c>
      <x:c r="E731" s="15" t="str">
        <x:v>未处理</x:v>
      </x:c>
      <x:c r="F731" s="15" t="str"/>
      <x:c r="G731" s="16" t="str">
        <x:v>http://www.intensivelongitudinal.com/</x:v>
      </x:c>
      <x:c r="H731" s="14" t="str">
        <x:v>H06</x:v>
      </x:c>
      <x:c r="I731" s="14" t="str">
        <x:v>方法/软件项目</x:v>
      </x:c>
      <x:c r="J731" s="18" t="str"/>
      <x:c r="K731" s="14" t="str">
        <x:v>教材 / 说明书 / 网页</x:v>
      </x:c>
      <x:c r="L731" s="14" t="str">
        <x:v>选读</x:v>
      </x:c>
      <x:c r="M731" s="14" t="str">
        <x:v>以网页课程、在线章节或项目文档形式提供。</x:v>
      </x:c>
      <x:c r="N731" s="14" t="str">
        <x:v>打开官方入口，使用站点提供的下载功能；网页教程可继续在线使用。</x:v>
      </x:c>
      <x:c r="O731" s="14" t="str">
        <x:v>本条目的方法说明、参数、示例或诊断入口。</x:v>
      </x:c>
      <x:c r="P731" s="14" t="str"/>
      <x:c r="Q731" s="14" t="str"/>
      <x:c r="R731" s="17"/>
      <x:c r="S731" s="14" t="str"/>
      <x:c r="T731" s="14" t="str"/>
      <x:c r="U731" s="19" t="n">
        <x:v>46303</x:v>
      </x:c>
    </x:row>
    <x:row r="732" ht="68" customHeight="1">
      <x:c r="A732" s="14" t="str">
        <x:v>D-461171C7</x:v>
      </x:c>
      <x:c r="B732" s="14" t="str">
        <x:v>在线阅读</x:v>
      </x:c>
      <x:c r="C732" s="14" t="str">
        <x:v>m-Path（免费 ESM 平台）</x:v>
      </x:c>
      <x:c r="D732" s="14" t="str">
        <x:v>英文</x:v>
      </x:c>
      <x:c r="E732" s="15" t="str">
        <x:v>未处理</x:v>
      </x:c>
      <x:c r="F732" s="15" t="str"/>
      <x:c r="G732" s="16" t="str">
        <x:v>https://m-path.io/</x:v>
      </x:c>
      <x:c r="H732" s="14" t="str">
        <x:v>H06</x:v>
      </x:c>
      <x:c r="I732" s="14" t="str">
        <x:v>方法/软件项目</x:v>
      </x:c>
      <x:c r="J732" s="18" t="str"/>
      <x:c r="K732" s="14" t="str">
        <x:v>教材 / 说明书 / 网页</x:v>
      </x:c>
      <x:c r="L732" s="14" t="str">
        <x:v>选读</x:v>
      </x:c>
      <x:c r="M732" s="14" t="str">
        <x:v>以网页课程、在线章节或项目文档形式提供。</x:v>
      </x:c>
      <x:c r="N732" s="14" t="str">
        <x:v>打开官方入口，使用站点提供的下载功能；网页教程可继续在线使用。</x:v>
      </x:c>
      <x:c r="O732" s="14" t="str">
        <x:v>本条目的方法说明、参数、示例或诊断入口。</x:v>
      </x:c>
      <x:c r="P732" s="14" t="str"/>
      <x:c r="Q732" s="14" t="str"/>
      <x:c r="R732" s="17"/>
      <x:c r="S732" s="14" t="str"/>
      <x:c r="T732" s="14" t="str"/>
      <x:c r="U732" s="19" t="n">
        <x:v>46303</x:v>
      </x:c>
    </x:row>
    <x:row r="733" ht="68" customHeight="1">
      <x:c r="A733" s="14" t="str">
        <x:v>D-359BA2CF</x:v>
      </x:c>
      <x:c r="B733" s="14" t="str">
        <x:v>在线阅读</x:v>
      </x:c>
      <x:c r="C733" s="14" t="str">
        <x:v>mobileQ：开源免费的经验取样应用</x:v>
      </x:c>
      <x:c r="D733" s="14" t="str">
        <x:v>英文</x:v>
      </x:c>
      <x:c r="E733" s="15" t="str">
        <x:v>未处理</x:v>
      </x:c>
      <x:c r="F733" s="15" t="str"/>
      <x:c r="G733" s="16" t="str">
        <x:v>https://mobileq.org/</x:v>
      </x:c>
      <x:c r="H733" s="14" t="str">
        <x:v>H06</x:v>
      </x:c>
      <x:c r="I733" s="14" t="str">
        <x:v>mobileq.org</x:v>
      </x:c>
      <x:c r="J733" s="18" t="str"/>
      <x:c r="K733" s="14" t="str">
        <x:v>教材 / 说明书 / 网页</x:v>
      </x:c>
      <x:c r="L733" s="14" t="str">
        <x:v>选读</x:v>
      </x:c>
      <x:c r="M733" s="14" t="str">
        <x:v>以网页课程、在线章节或项目文档形式提供。</x:v>
      </x:c>
      <x:c r="N733" s="14" t="str">
        <x:v>打开官方入口，使用站点提供的下载功能；网页教程可继续在线使用。</x:v>
      </x:c>
      <x:c r="O733" s="14" t="str">
        <x:v>官方说明与使用示例。</x:v>
      </x:c>
      <x:c r="P733" s="14" t="str"/>
      <x:c r="Q733" s="14" t="str"/>
      <x:c r="R733" s="17"/>
      <x:c r="S733" s="14" t="str"/>
      <x:c r="T733" s="14" t="str"/>
      <x:c r="U733" s="19" t="n">
        <x:v>46303</x:v>
      </x:c>
    </x:row>
    <x:row r="734" ht="68" customHeight="1">
      <x:c r="A734" s="14" t="str">
        <x:v>D-F7E848F7</x:v>
      </x:c>
      <x:c r="B734" s="14" t="str">
        <x:v>在线阅读</x:v>
      </x:c>
      <x:c r="C734" s="14" t="str">
        <x:v>DSEM 章节配套材料（含经验取样数据的完整分析流程）</x:v>
      </x:c>
      <x:c r="D734" s="14" t="str">
        <x:v>英文</x:v>
      </x:c>
      <x:c r="E734" s="15" t="str">
        <x:v>未处理</x:v>
      </x:c>
      <x:c r="F734" s="15" t="str"/>
      <x:c r="G734" s="16" t="str">
        <x:v>https://ellenhamaker.github.io/DSEM-book-chapter/</x:v>
      </x:c>
      <x:c r="H734" s="14" t="str">
        <x:v>H06；H07</x:v>
      </x:c>
      <x:c r="I734" s="14" t="str">
        <x:v>Ellen Hamaker、Tihomir Asparouhov、Bengt Muthén</x:v>
      </x:c>
      <x:c r="J734" s="18" t="str"/>
      <x:c r="K734" s="14" t="str">
        <x:v>教材 / 说明书 / 网页</x:v>
      </x:c>
      <x:c r="L734" s="14" t="str">
        <x:v>选读</x:v>
      </x:c>
      <x:c r="M734" s="14" t="str">
        <x:v>以网页课程、在线章节或项目文档形式提供。</x:v>
      </x:c>
      <x:c r="N734" s="14" t="str">
        <x:v>打开官方入口，使用站点提供的下载功能；网页教程可继续在线使用。</x:v>
      </x:c>
      <x:c r="O734" s="14" t="str">
        <x:v>用一份 129 人的真实经验取样数据，从 N=1 到多层逐步演示，含 Mplus 语法与输出逐行解读</x:v>
      </x:c>
      <x:c r="P734" s="14" t="str"/>
      <x:c r="Q734" s="14" t="str"/>
      <x:c r="R734" s="17"/>
      <x:c r="S734" s="14" t="str"/>
      <x:c r="T734" s="14" t="str"/>
      <x:c r="U734" s="19" t="n">
        <x:v>46303</x:v>
      </x:c>
    </x:row>
    <x:row r="735" ht="68" customHeight="1">
      <x:c r="A735" s="14" t="str">
        <x:v>D-175736F2</x:v>
      </x:c>
      <x:c r="B735" s="14" t="str">
        <x:v>在线阅读</x:v>
      </x:c>
      <x:c r="C735" s="14" t="str">
        <x:v>mlVAR 包</x:v>
      </x:c>
      <x:c r="D735" s="14" t="str">
        <x:v>英文</x:v>
      </x:c>
      <x:c r="E735" s="15" t="str">
        <x:v>未处理</x:v>
      </x:c>
      <x:c r="F735" s="15" t="str"/>
      <x:c r="G735" s="16" t="str">
        <x:v>https://cran.r-project.org/package=mlVAR</x:v>
      </x:c>
      <x:c r="H735" s="14" t="str">
        <x:v>H07</x:v>
      </x:c>
      <x:c r="I735" s="14" t="str">
        <x:v>方法/软件项目</x:v>
      </x:c>
      <x:c r="J735" s="18" t="str"/>
      <x:c r="K735" s="14" t="str">
        <x:v>教材 / 说明书 / 网页</x:v>
      </x:c>
      <x:c r="L735" s="14" t="str">
        <x:v>选读</x:v>
      </x:c>
      <x:c r="M735" s="14" t="str">
        <x:v>以网页课程、在线章节或项目文档形式提供。</x:v>
      </x:c>
      <x:c r="N735" s="14" t="str">
        <x:v>打开官方入口，使用站点提供的下载功能；网页教程可继续在线使用。</x:v>
      </x:c>
      <x:c r="O735" s="14" t="str">
        <x:v>本条目的方法说明、参数、示例或诊断入口。</x:v>
      </x:c>
      <x:c r="P735" s="14" t="str"/>
      <x:c r="Q735" s="14" t="str"/>
      <x:c r="R735" s="17"/>
      <x:c r="S735" s="14" t="str"/>
      <x:c r="T735" s="14" t="str"/>
      <x:c r="U735" s="19" t="n">
        <x:v>46303</x:v>
      </x:c>
    </x:row>
    <x:row r="736" ht="68" customHeight="1">
      <x:c r="A736" s="14" t="str">
        <x:v>D-FDCDBDC8</x:v>
      </x:c>
      <x:c r="B736" s="14" t="str">
        <x:v>在线阅读</x:v>
      </x:c>
      <x:c r="C736" s="14" t="str">
        <x:v>Mplus DSEM 页面（含示例）</x:v>
      </x:c>
      <x:c r="D736" s="14" t="str">
        <x:v>英文</x:v>
      </x:c>
      <x:c r="E736" s="15" t="str">
        <x:v>未处理</x:v>
      </x:c>
      <x:c r="F736" s="15" t="str"/>
      <x:c r="G736" s="16" t="str">
        <x:v>https://www.statmodel.com/TimeSeries.shtml</x:v>
      </x:c>
      <x:c r="H736" s="14" t="str">
        <x:v>H07</x:v>
      </x:c>
      <x:c r="I736" s="14" t="str">
        <x:v>方法/软件项目</x:v>
      </x:c>
      <x:c r="J736" s="18" t="str"/>
      <x:c r="K736" s="14" t="str">
        <x:v>教材 / 说明书 / 网页</x:v>
      </x:c>
      <x:c r="L736" s="14" t="str">
        <x:v>选读</x:v>
      </x:c>
      <x:c r="M736" s="14" t="str">
        <x:v>以网页课程、在线章节或项目文档形式提供。</x:v>
      </x:c>
      <x:c r="N736" s="14" t="str">
        <x:v>打开官方入口，使用站点提供的下载功能；网页教程可继续在线使用。</x:v>
      </x:c>
      <x:c r="O736" s="14" t="str">
        <x:v>本条目的方法说明、参数、示例或诊断入口。</x:v>
      </x:c>
      <x:c r="P736" s="14" t="str"/>
      <x:c r="Q736" s="14" t="str"/>
      <x:c r="R736" s="17"/>
      <x:c r="S736" s="14" t="str"/>
      <x:c r="T736" s="14" t="str"/>
      <x:c r="U736" s="19" t="n">
        <x:v>46303</x:v>
      </x:c>
    </x:row>
    <x:row r="737" ht="68" customHeight="1">
      <x:c r="A737" s="14" t="str">
        <x:v>D-D1354993</x:v>
      </x:c>
      <x:c r="B737" s="14" t="str">
        <x:v>在线阅读</x:v>
      </x:c>
      <x:c r="C737" s="14" t="str">
        <x:v>ctsem CRAN</x:v>
      </x:c>
      <x:c r="D737" s="14" t="str">
        <x:v>英文</x:v>
      </x:c>
      <x:c r="E737" s="15" t="str">
        <x:v>未处理</x:v>
      </x:c>
      <x:c r="F737" s="15" t="str"/>
      <x:c r="G737" s="16" t="str">
        <x:v>https://cran.r-project.org/package=ctsem</x:v>
      </x:c>
      <x:c r="H737" s="14" t="str">
        <x:v>H08</x:v>
      </x:c>
      <x:c r="I737" s="14" t="str">
        <x:v>方法/软件项目</x:v>
      </x:c>
      <x:c r="J737" s="18" t="str"/>
      <x:c r="K737" s="14" t="str">
        <x:v>教材 / 说明书 / 网页</x:v>
      </x:c>
      <x:c r="L737" s="14" t="str">
        <x:v>选读</x:v>
      </x:c>
      <x:c r="M737" s="14" t="str">
        <x:v>以网页课程、在线章节或项目文档形式提供。</x:v>
      </x:c>
      <x:c r="N737" s="14" t="str">
        <x:v>打开官方入口，使用站点提供的下载功能；网页教程可继续在线使用。</x:v>
      </x:c>
      <x:c r="O737" s="14" t="str">
        <x:v>本条目的方法说明、参数、示例或诊断入口。</x:v>
      </x:c>
      <x:c r="P737" s="14" t="str"/>
      <x:c r="Q737" s="14" t="str"/>
      <x:c r="R737" s="17"/>
      <x:c r="S737" s="14" t="str"/>
      <x:c r="T737" s="14" t="str"/>
      <x:c r="U737" s="19" t="n">
        <x:v>46303</x:v>
      </x:c>
    </x:row>
    <x:row r="738" ht="68" customHeight="1">
      <x:c r="A738" s="14" t="str">
        <x:v>D-0196122B</x:v>
      </x:c>
      <x:c r="B738" s="14" t="str">
        <x:v>在线阅读</x:v>
      </x:c>
      <x:c r="C738" s="14" t="str">
        <x:v>ctsem 官方站</x:v>
      </x:c>
      <x:c r="D738" s="14" t="str">
        <x:v>英文</x:v>
      </x:c>
      <x:c r="E738" s="15" t="str">
        <x:v>未处理</x:v>
      </x:c>
      <x:c r="F738" s="15" t="str"/>
      <x:c r="G738" s="16" t="str">
        <x:v>https://cdriver.netlify.app/</x:v>
      </x:c>
      <x:c r="H738" s="14" t="str">
        <x:v>H08</x:v>
      </x:c>
      <x:c r="I738" s="14" t="str">
        <x:v>方法/软件项目</x:v>
      </x:c>
      <x:c r="J738" s="18" t="str"/>
      <x:c r="K738" s="14" t="str">
        <x:v>教材 / 说明书 / 网页</x:v>
      </x:c>
      <x:c r="L738" s="14" t="str">
        <x:v>选读</x:v>
      </x:c>
      <x:c r="M738" s="14" t="str">
        <x:v>以网页课程、在线章节或项目文档形式提供。</x:v>
      </x:c>
      <x:c r="N738" s="14" t="str">
        <x:v>打开官方入口，使用站点提供的下载功能；网页教程可继续在线使用。</x:v>
      </x:c>
      <x:c r="O738" s="14" t="str">
        <x:v>本条目的方法说明、参数、示例或诊断入口。</x:v>
      </x:c>
      <x:c r="P738" s="14" t="str"/>
      <x:c r="Q738" s="14" t="str"/>
      <x:c r="R738" s="17"/>
      <x:c r="S738" s="14" t="str"/>
      <x:c r="T738" s="14" t="str"/>
      <x:c r="U738" s="19" t="n">
        <x:v>46303</x:v>
      </x:c>
    </x:row>
    <x:row r="739" ht="68" customHeight="1">
      <x:c r="A739" s="14" t="str">
        <x:v>D-5BF879AD</x:v>
      </x:c>
      <x:c r="B739" s="14" t="str">
        <x:v>在线阅读</x:v>
      </x:c>
      <x:c r="C739" s="14" t="str">
        <x:v>TraMineR 官方站</x:v>
      </x:c>
      <x:c r="D739" s="14" t="str">
        <x:v>英文</x:v>
      </x:c>
      <x:c r="E739" s="15" t="str">
        <x:v>未处理</x:v>
      </x:c>
      <x:c r="F739" s="15" t="str"/>
      <x:c r="G739" s="16" t="str">
        <x:v>http://traminer.unige.ch/</x:v>
      </x:c>
      <x:c r="H739" s="14" t="str">
        <x:v>H09</x:v>
      </x:c>
      <x:c r="I739" s="14" t="str">
        <x:v>方法/软件项目</x:v>
      </x:c>
      <x:c r="J739" s="18" t="str"/>
      <x:c r="K739" s="14" t="str">
        <x:v>教材 / 说明书 / 网页</x:v>
      </x:c>
      <x:c r="L739" s="14" t="str">
        <x:v>选读</x:v>
      </x:c>
      <x:c r="M739" s="14" t="str">
        <x:v>以网页课程、在线章节或项目文档形式提供。</x:v>
      </x:c>
      <x:c r="N739" s="14" t="str">
        <x:v>打开官方入口，使用站点提供的下载功能；网页教程可继续在线使用。</x:v>
      </x:c>
      <x:c r="O739" s="14" t="str">
        <x:v>本条目的方法说明、参数、示例或诊断入口。</x:v>
      </x:c>
      <x:c r="P739" s="14" t="str"/>
      <x:c r="Q739" s="14" t="str"/>
      <x:c r="R739" s="17"/>
      <x:c r="S739" s="14" t="str"/>
      <x:c r="T739" s="14" t="str"/>
      <x:c r="U739" s="19" t="n">
        <x:v>46303</x:v>
      </x:c>
    </x:row>
    <x:row r="740" ht="68" customHeight="1">
      <x:c r="A740" s="14" t="str">
        <x:v>D-7960344A</x:v>
      </x:c>
      <x:c r="B740" s="14" t="str">
        <x:v>在线阅读</x:v>
      </x:c>
      <x:c r="C740" s="14" t="str">
        <x:v>TraMineR 用户指南（日内瓦大学，完整 PDF 教程）</x:v>
      </x:c>
      <x:c r="D740" s="14" t="str">
        <x:v>英文</x:v>
      </x:c>
      <x:c r="E740" s="15" t="str">
        <x:v>未处理</x:v>
      </x:c>
      <x:c r="F740" s="15" t="str"/>
      <x:c r="G740" s="16" t="str">
        <x:v>https://traminer.unige.ch/documentation.shtml</x:v>
      </x:c>
      <x:c r="H740" s="14" t="str">
        <x:v>H09</x:v>
      </x:c>
      <x:c r="I740" s="14" t="str">
        <x:v>Gabadinho、Ritschard、Müller &amp; Studer（日内瓦大学）</x:v>
      </x:c>
      <x:c r="J740" s="18" t="str"/>
      <x:c r="K740" s="14" t="str">
        <x:v>教材 / 说明书 / 网页</x:v>
      </x:c>
      <x:c r="L740" s="14" t="str">
        <x:v>选读</x:v>
      </x:c>
      <x:c r="M740" s="14" t="str">
        <x:v>以网页课程、在线章节或项目文档形式提供。</x:v>
      </x:c>
      <x:c r="N740" s="14" t="str">
        <x:v>打开官方入口，使用站点提供的下载功能；网页教程可继续在线使用。</x:v>
      </x:c>
      <x:c r="O740" s="14" t="str">
        <x:v>从数据格式到距离计算到聚类的完整流程，每一步都有可跑代码；官方文档页还挂着历年工作坊材料</x:v>
      </x:c>
      <x:c r="P740" s="14" t="str"/>
      <x:c r="Q740" s="14" t="str"/>
      <x:c r="R740" s="17"/>
      <x:c r="S740" s="14" t="str"/>
      <x:c r="T740" s="14" t="str"/>
      <x:c r="U740" s="19" t="n">
        <x:v>46303</x:v>
      </x:c>
    </x:row>
    <x:row r="741" ht="68" customHeight="1">
      <x:c r="A741" s="14" t="str">
        <x:v>D-589935E9</x:v>
      </x:c>
      <x:c r="B741" s="14" t="str">
        <x:v>在线阅读</x:v>
      </x:c>
      <x:c r="C741" s="14" t="str">
        <x:v>WeightedCluster 包与手册</x:v>
      </x:c>
      <x:c r="D741" s="14" t="str">
        <x:v>英文</x:v>
      </x:c>
      <x:c r="E741" s="15" t="str">
        <x:v>未处理</x:v>
      </x:c>
      <x:c r="F741" s="15" t="str"/>
      <x:c r="G741" s="16" t="str">
        <x:v>https://cran.r-project.org/package=WeightedCluster</x:v>
      </x:c>
      <x:c r="H741" s="14" t="str">
        <x:v>H09</x:v>
      </x:c>
      <x:c r="I741" s="14" t="str">
        <x:v>方法/软件项目</x:v>
      </x:c>
      <x:c r="J741" s="18" t="str"/>
      <x:c r="K741" s="14" t="str">
        <x:v>教材 / 说明书 / 网页</x:v>
      </x:c>
      <x:c r="L741" s="14" t="str">
        <x:v>选读</x:v>
      </x:c>
      <x:c r="M741" s="14" t="str">
        <x:v>以网页课程、在线章节或项目文档形式提供。</x:v>
      </x:c>
      <x:c r="N741" s="14" t="str">
        <x:v>打开官方入口，使用站点提供的下载功能；网页教程可继续在线使用。</x:v>
      </x:c>
      <x:c r="O741" s="14" t="str">
        <x:v>本条目的方法说明、参数、示例或诊断入口。</x:v>
      </x:c>
      <x:c r="P741" s="14" t="str"/>
      <x:c r="Q741" s="14" t="str"/>
      <x:c r="R741" s="17"/>
      <x:c r="S741" s="14" t="str"/>
      <x:c r="T741" s="14" t="str"/>
      <x:c r="U741" s="19" t="n">
        <x:v>46303</x:v>
      </x:c>
    </x:row>
    <x:row r="742" ht="68" customHeight="1">
      <x:c r="A742" s="14" t="str">
        <x:v>D-72A3B7B2</x:v>
      </x:c>
      <x:c r="B742" s="14" t="str">
        <x:v>在线阅读</x:v>
      </x:c>
      <x:c r="C742" s="14" t="str">
        <x:v>fpc 包（clusterboot 稳定性）</x:v>
      </x:c>
      <x:c r="D742" s="14" t="str">
        <x:v>英文</x:v>
      </x:c>
      <x:c r="E742" s="15" t="str">
        <x:v>未处理</x:v>
      </x:c>
      <x:c r="F742" s="15" t="str"/>
      <x:c r="G742" s="16" t="str">
        <x:v>https://cran.r-project.org/package=fpc</x:v>
      </x:c>
      <x:c r="H742" s="14" t="str">
        <x:v>I01</x:v>
      </x:c>
      <x:c r="I742" s="14" t="str">
        <x:v>方法/软件项目</x:v>
      </x:c>
      <x:c r="J742" s="18" t="str"/>
      <x:c r="K742" s="14" t="str">
        <x:v>教材 / 说明书 / 网页</x:v>
      </x:c>
      <x:c r="L742" s="14" t="str">
        <x:v>选读</x:v>
      </x:c>
      <x:c r="M742" s="14" t="str">
        <x:v>以网页课程、在线章节或项目文档形式提供。</x:v>
      </x:c>
      <x:c r="N742" s="14" t="str">
        <x:v>打开官方入口，使用站点提供的下载功能；网页教程可继续在线使用。</x:v>
      </x:c>
      <x:c r="O742" s="14" t="str">
        <x:v>本条目的方法说明、参数、示例或诊断入口。</x:v>
      </x:c>
      <x:c r="P742" s="14" t="str"/>
      <x:c r="Q742" s="14" t="str"/>
      <x:c r="R742" s="17"/>
      <x:c r="S742" s="14" t="str"/>
      <x:c r="T742" s="14" t="str"/>
      <x:c r="U742" s="19" t="n">
        <x:v>46303</x:v>
      </x:c>
    </x:row>
    <x:row r="743" ht="68" customHeight="1">
      <x:c r="A743" s="14" t="str">
        <x:v>D-3864208F</x:v>
      </x:c>
      <x:c r="B743" s="14" t="str">
        <x:v>在线阅读</x:v>
      </x:c>
      <x:c r="C743" s="14" t="str">
        <x:v>factoextra（聚类可视化与定 k）</x:v>
      </x:c>
      <x:c r="D743" s="14" t="str">
        <x:v>英文</x:v>
      </x:c>
      <x:c r="E743" s="15" t="str">
        <x:v>未处理</x:v>
      </x:c>
      <x:c r="F743" s="15" t="str"/>
      <x:c r="G743" s="16" t="str">
        <x:v>https://rpkgs.datanovia.com/factoextra/</x:v>
      </x:c>
      <x:c r="H743" s="14" t="str">
        <x:v>I01；I02</x:v>
      </x:c>
      <x:c r="I743" s="14" t="str">
        <x:v>方法/软件项目</x:v>
      </x:c>
      <x:c r="J743" s="18" t="str"/>
      <x:c r="K743" s="14" t="str">
        <x:v>教材 / 说明书 / 网页</x:v>
      </x:c>
      <x:c r="L743" s="14" t="str">
        <x:v>选读</x:v>
      </x:c>
      <x:c r="M743" s="14" t="str">
        <x:v>以网页课程、在线章节或项目文档形式提供。</x:v>
      </x:c>
      <x:c r="N743" s="14" t="str">
        <x:v>打开官方入口，使用站点提供的下载功能；网页教程可继续在线使用。</x:v>
      </x:c>
      <x:c r="O743" s="14" t="str">
        <x:v>本条目的方法说明、参数、示例或诊断入口。</x:v>
      </x:c>
      <x:c r="P743" s="14" t="str"/>
      <x:c r="Q743" s="14" t="str"/>
      <x:c r="R743" s="17"/>
      <x:c r="S743" s="14" t="str"/>
      <x:c r="T743" s="14" t="str"/>
      <x:c r="U743" s="19" t="n">
        <x:v>46303</x:v>
      </x:c>
    </x:row>
    <x:row r="744" ht="68" customHeight="1">
      <x:c r="A744" s="14" t="str">
        <x:v>D-3E48BADC</x:v>
      </x:c>
      <x:c r="B744" s="14" t="str">
        <x:v>在线阅读</x:v>
      </x:c>
      <x:c r="C744" s="14" t="str">
        <x:v>Clustering</x:v>
      </x:c>
      <x:c r="D744" s="14" t="str">
        <x:v>英文</x:v>
      </x:c>
      <x:c r="E744" s="15" t="str">
        <x:v>未处理</x:v>
      </x:c>
      <x:c r="F744" s="15" t="str"/>
      <x:c r="G744" s="16" t="str">
        <x:v>https://scikit-learn.org/stable/modules/clustering.html</x:v>
      </x:c>
      <x:c r="H744" s="14" t="str">
        <x:v>I01；I02；I03；I04；I05</x:v>
      </x:c>
      <x:c r="I744" s="14" t="str">
        <x:v>scikit-learn</x:v>
      </x:c>
      <x:c r="J744" s="18" t="str"/>
      <x:c r="K744" s="14" t="str">
        <x:v>教材 / 说明书 / 网页</x:v>
      </x:c>
      <x:c r="L744" s="14" t="str">
        <x:v>选读</x:v>
      </x:c>
      <x:c r="M744" s="14" t="str">
        <x:v>以网页课程、在线章节或项目文档形式提供。</x:v>
      </x:c>
      <x:c r="N744" s="14" t="str">
        <x:v>打开官方入口，使用站点提供的下载功能；网页教程可继续在线使用。</x:v>
      </x:c>
      <x:c r="O744" s="14" t="str">
        <x:v>多种聚类算法、选择依据、指标和可运行示例。</x:v>
      </x:c>
      <x:c r="P744" s="14" t="str"/>
      <x:c r="Q744" s="14" t="str"/>
      <x:c r="R744" s="17"/>
      <x:c r="S744" s="14" t="str"/>
      <x:c r="T744" s="14" t="str"/>
      <x:c r="U744" s="19" t="n">
        <x:v>46303</x:v>
      </x:c>
    </x:row>
    <x:row r="745" ht="68" customHeight="1">
      <x:c r="A745" s="14" t="str">
        <x:v>D-440B67A0</x:v>
      </x:c>
      <x:c r="B745" s="14" t="str">
        <x:v>在线阅读</x:v>
      </x:c>
      <x:c r="C745" s="14" t="str">
        <x:v>UMAP documentation</x:v>
      </x:c>
      <x:c r="D745" s="14" t="str">
        <x:v>英文</x:v>
      </x:c>
      <x:c r="E745" s="15" t="str">
        <x:v>未处理</x:v>
      </x:c>
      <x:c r="F745" s="15" t="str"/>
      <x:c r="G745" s="16" t="str">
        <x:v>https://umap-learn.readthedocs.io/en/latest/</x:v>
      </x:c>
      <x:c r="H745" s="14" t="str">
        <x:v>I01；I02；I03；I04；I05</x:v>
      </x:c>
      <x:c r="I745" s="14" t="str">
        <x:v>UMAP project</x:v>
      </x:c>
      <x:c r="J745" s="18" t="str"/>
      <x:c r="K745" s="14" t="str">
        <x:v>教材 / 说明书 / 网页</x:v>
      </x:c>
      <x:c r="L745" s="14" t="str">
        <x:v>选读</x:v>
      </x:c>
      <x:c r="M745" s="14" t="str">
        <x:v>以网页课程、在线章节或项目文档形式提供。</x:v>
      </x:c>
      <x:c r="N745" s="14" t="str">
        <x:v>打开官方入口，使用站点提供的下载功能；网页教程可继续在线使用。</x:v>
      </x:c>
      <x:c r="O745" s="14" t="str">
        <x:v>参数、监督 UMAP、变换、可复现性和诊断。</x:v>
      </x:c>
      <x:c r="P745" s="14" t="str"/>
      <x:c r="Q745" s="14" t="str"/>
      <x:c r="R745" s="17"/>
      <x:c r="S745" s="14" t="str"/>
      <x:c r="T745" s="14" t="str"/>
      <x:c r="U745" s="19" t="n">
        <x:v>46303</x:v>
      </x:c>
    </x:row>
    <x:row r="746" ht="68" customHeight="1">
      <x:c r="A746" s="14" t="str">
        <x:v>D-BC8F850C</x:v>
      </x:c>
      <x:c r="B746" s="14" t="str">
        <x:v>在线阅读</x:v>
      </x:c>
      <x:c r="C746" s="14" t="str">
        <x:v>Unsupervised learning user guide</x:v>
      </x:c>
      <x:c r="D746" s="14" t="str">
        <x:v>英文</x:v>
      </x:c>
      <x:c r="E746" s="15" t="str">
        <x:v>未处理</x:v>
      </x:c>
      <x:c r="F746" s="15" t="str"/>
      <x:c r="G746" s="16" t="str">
        <x:v>https://scikit-learn.org/stable/unsupervised_learning.html</x:v>
      </x:c>
      <x:c r="H746" s="14" t="str">
        <x:v>I01；I02；I03；I04；I05</x:v>
      </x:c>
      <x:c r="I746" s="14" t="str">
        <x:v>scikit-learn</x:v>
      </x:c>
      <x:c r="J746" s="18" t="str"/>
      <x:c r="K746" s="14" t="str">
        <x:v>教材 / 说明书 / 网页</x:v>
      </x:c>
      <x:c r="L746" s="14" t="str">
        <x:v>选读</x:v>
      </x:c>
      <x:c r="M746" s="14" t="str">
        <x:v>以网页课程、在线章节或项目文档形式提供。</x:v>
      </x:c>
      <x:c r="N746" s="14" t="str">
        <x:v>打开官方入口，使用站点提供的下载功能；网页教程可继续在线使用。</x:v>
      </x:c>
      <x:c r="O746" s="14" t="str">
        <x:v>聚类、流形、矩阵分解、异常检测和密度估计。</x:v>
      </x:c>
      <x:c r="P746" s="14" t="str"/>
      <x:c r="Q746" s="14" t="str"/>
      <x:c r="R746" s="17"/>
      <x:c r="S746" s="14" t="str"/>
      <x:c r="T746" s="14" t="str"/>
      <x:c r="U746" s="19" t="n">
        <x:v>46303</x:v>
      </x:c>
    </x:row>
    <x:row r="747" ht="68" customHeight="1">
      <x:c r="A747" s="14" t="str">
        <x:v>D-3F17D4E4</x:v>
      </x:c>
      <x:c r="B747" s="14" t="str">
        <x:v>在线阅读</x:v>
      </x:c>
      <x:c r="C747" s="14" t="str">
        <x:v>动手学深度学习 · 线性代数</x:v>
      </x:c>
      <x:c r="D747" s="14" t="str">
        <x:v>中文</x:v>
      </x:c>
      <x:c r="E747" s="15" t="str">
        <x:v>未处理</x:v>
      </x:c>
      <x:c r="F747" s="15" t="str"/>
      <x:c r="G747" s="16" t="str">
        <x:v>https://zh-v2.d2l.ai/chapter_preliminaries/linear-algebra.html</x:v>
      </x:c>
      <x:c r="H747" s="14" t="str">
        <x:v>I01；I02；I03；I04；M03；M04；M05</x:v>
      </x:c>
      <x:c r="I747" s="14" t="str">
        <x:v>张阿斯顿、李沐等</x:v>
      </x:c>
      <x:c r="J747" s="18" t="str"/>
      <x:c r="K747" s="14" t="str">
        <x:v>教材 / 说明书 / 网页</x:v>
      </x:c>
      <x:c r="L747" s="14" t="str">
        <x:v>选读</x:v>
      </x:c>
      <x:c r="M747" s="14" t="str">
        <x:v>以网页课程、在线章节或项目文档形式提供。</x:v>
      </x:c>
      <x:c r="N747" s="14" t="str">
        <x:v>打开官方入口，使用站点提供的下载功能；网页教程可继续在线使用。</x:v>
      </x:c>
      <x:c r="O747" s="14" t="str">
        <x:v>作者开放教材章节，含代码和练习。</x:v>
      </x:c>
      <x:c r="P747" s="14" t="str"/>
      <x:c r="Q747" s="14" t="str"/>
      <x:c r="R747" s="17"/>
      <x:c r="S747" s="14" t="str"/>
      <x:c r="T747" s="14" t="str"/>
      <x:c r="U747" s="19" t="n">
        <x:v>46303</x:v>
      </x:c>
    </x:row>
    <x:row r="748" ht="68" customHeight="1">
      <x:c r="A748" s="14" t="str">
        <x:v>D-48A382E3</x:v>
      </x:c>
      <x:c r="B748" s="14" t="str">
        <x:v>在线阅读</x:v>
      </x:c>
      <x:c r="C748" s="14" t="str">
        <x:v>统计计算 · 31 特征值和奇异值</x:v>
      </x:c>
      <x:c r="D748" s="14" t="str">
        <x:v>中文</x:v>
      </x:c>
      <x:c r="E748" s="15" t="str">
        <x:v>未处理</x:v>
      </x:c>
      <x:c r="F748" s="15" t="str"/>
      <x:c r="G748" s="16" t="str">
        <x:v>https://math.pku.edu.cn/teachers/lidf/docs/statcomp/html/_statcompbook/matrix-eig.html</x:v>
      </x:c>
      <x:c r="H748" s="14" t="str">
        <x:v>I02；M05</x:v>
      </x:c>
      <x:c r="I748" s="14" t="str">
        <x:v>李东风 · 北京大学</x:v>
      </x:c>
      <x:c r="J748" s="18" t="str"/>
      <x:c r="K748" s="14" t="str">
        <x:v>教材 / 说明书 / 网页</x:v>
      </x:c>
      <x:c r="L748" s="14" t="str">
        <x:v>选读</x:v>
      </x:c>
      <x:c r="M748" s="14" t="str">
        <x:v>以网页课程、在线章节或项目文档形式提供。</x:v>
      </x:c>
      <x:c r="N748" s="14" t="str">
        <x:v>打开官方入口，使用站点提供的下载功能；网页教程可继续在线使用。</x:v>
      </x:c>
      <x:c r="O748" s="14" t="str">
        <x:v>作者公开讲义：算法、推导与 R 计算。</x:v>
      </x:c>
      <x:c r="P748" s="14" t="str"/>
      <x:c r="Q748" s="14" t="str"/>
      <x:c r="R748" s="17"/>
      <x:c r="S748" s="14" t="str"/>
      <x:c r="T748" s="14" t="str"/>
      <x:c r="U748" s="19" t="n">
        <x:v>46303</x:v>
      </x:c>
    </x:row>
    <x:row r="749" ht="68" customHeight="1">
      <x:c r="A749" s="14" t="str">
        <x:v>D-4D71EE75</x:v>
      </x:c>
      <x:c r="B749" s="14" t="str">
        <x:v>在线阅读</x:v>
      </x:c>
      <x:c r="C749" s="14" t="str">
        <x:v>FactoMineR（对应分析与 MCA）</x:v>
      </x:c>
      <x:c r="D749" s="14" t="str">
        <x:v>英文</x:v>
      </x:c>
      <x:c r="E749" s="15" t="str">
        <x:v>未处理</x:v>
      </x:c>
      <x:c r="F749" s="15" t="str"/>
      <x:c r="G749" s="16" t="str">
        <x:v>http://factominer.free.fr/</x:v>
      </x:c>
      <x:c r="H749" s="14" t="str">
        <x:v>I03</x:v>
      </x:c>
      <x:c r="I749" s="14" t="str">
        <x:v>方法/软件项目</x:v>
      </x:c>
      <x:c r="J749" s="18" t="str"/>
      <x:c r="K749" s="14" t="str">
        <x:v>教材 / 说明书 / 网页</x:v>
      </x:c>
      <x:c r="L749" s="14" t="str">
        <x:v>选读</x:v>
      </x:c>
      <x:c r="M749" s="14" t="str">
        <x:v>以网页课程、在线章节或项目文档形式提供。</x:v>
      </x:c>
      <x:c r="N749" s="14" t="str">
        <x:v>打开官方入口，使用站点提供的下载功能；网页教程可继续在线使用。</x:v>
      </x:c>
      <x:c r="O749" s="14" t="str">
        <x:v>本条目的方法说明、参数、示例或诊断入口。</x:v>
      </x:c>
      <x:c r="P749" s="14" t="str"/>
      <x:c r="Q749" s="14" t="str"/>
      <x:c r="R749" s="17"/>
      <x:c r="S749" s="14" t="str"/>
      <x:c r="T749" s="14" t="str"/>
      <x:c r="U749" s="19" t="n">
        <x:v>46303</x:v>
      </x:c>
    </x:row>
    <x:row r="750" ht="68" customHeight="1">
      <x:c r="A750" s="14" t="str">
        <x:v>D-C0AA7608</x:v>
      </x:c>
      <x:c r="B750" s="14" t="str">
        <x:v>在线阅读</x:v>
      </x:c>
      <x:c r="C750" s="14" t="str">
        <x:v>smacof 包</x:v>
      </x:c>
      <x:c r="D750" s="14" t="str">
        <x:v>英文</x:v>
      </x:c>
      <x:c r="E750" s="15" t="str">
        <x:v>未处理</x:v>
      </x:c>
      <x:c r="F750" s="15" t="str"/>
      <x:c r="G750" s="16" t="str">
        <x:v>https://cran.r-project.org/package=smacof</x:v>
      </x:c>
      <x:c r="H750" s="14" t="str">
        <x:v>I03</x:v>
      </x:c>
      <x:c r="I750" s="14" t="str">
        <x:v>方法/软件项目</x:v>
      </x:c>
      <x:c r="J750" s="18" t="str"/>
      <x:c r="K750" s="14" t="str">
        <x:v>教材 / 说明书 / 网页</x:v>
      </x:c>
      <x:c r="L750" s="14" t="str">
        <x:v>选读</x:v>
      </x:c>
      <x:c r="M750" s="14" t="str">
        <x:v>以网页课程、在线章节或项目文档形式提供。</x:v>
      </x:c>
      <x:c r="N750" s="14" t="str">
        <x:v>打开官方入口，使用站点提供的下载功能；网页教程可继续在线使用。</x:v>
      </x:c>
      <x:c r="O750" s="14" t="str">
        <x:v>本条目的方法说明、参数、示例或诊断入口。</x:v>
      </x:c>
      <x:c r="P750" s="14" t="str"/>
      <x:c r="Q750" s="14" t="str"/>
      <x:c r="R750" s="17"/>
      <x:c r="S750" s="14" t="str"/>
      <x:c r="T750" s="14" t="str"/>
      <x:c r="U750" s="19" t="n">
        <x:v>46303</x:v>
      </x:c>
    </x:row>
    <x:row r="751" ht="68" customHeight="1">
      <x:c r="A751" s="14" t="str">
        <x:v>D-F73EFE83</x:v>
      </x:c>
      <x:c r="B751" s="14" t="str">
        <x:v>在线阅读</x:v>
      </x:c>
      <x:c r="C751" s="14" t="str">
        <x:v>How to Use t-SNE Effectively（Distill 交互文章）</x:v>
      </x:c>
      <x:c r="D751" s="14" t="str">
        <x:v>英文</x:v>
      </x:c>
      <x:c r="E751" s="15" t="str">
        <x:v>未处理</x:v>
      </x:c>
      <x:c r="F751" s="15" t="str"/>
      <x:c r="G751" s="16" t="str">
        <x:v>https://distill.pub/2016/misread-tsne/</x:v>
      </x:c>
      <x:c r="H751" s="14" t="str">
        <x:v>I04</x:v>
      </x:c>
      <x:c r="I751" s="14" t="str">
        <x:v>方法/软件项目</x:v>
      </x:c>
      <x:c r="J751" s="18" t="str"/>
      <x:c r="K751" s="14" t="str">
        <x:v>教材 / 说明书 / 网页</x:v>
      </x:c>
      <x:c r="L751" s="14" t="str">
        <x:v>选读</x:v>
      </x:c>
      <x:c r="M751" s="14" t="str">
        <x:v>以网页课程、在线章节或项目文档形式提供。</x:v>
      </x:c>
      <x:c r="N751" s="14" t="str">
        <x:v>打开官方入口，使用站点提供的下载功能；网页教程可继续在线使用。</x:v>
      </x:c>
      <x:c r="O751" s="14" t="str">
        <x:v>本条目的方法说明、参数、示例或诊断入口。</x:v>
      </x:c>
      <x:c r="P751" s="14" t="str"/>
      <x:c r="Q751" s="14" t="str"/>
      <x:c r="R751" s="17"/>
      <x:c r="S751" s="14" t="str"/>
      <x:c r="T751" s="14" t="str"/>
      <x:c r="U751" s="19" t="n">
        <x:v>46303</x:v>
      </x:c>
    </x:row>
    <x:row r="752" ht="68" customHeight="1">
      <x:c r="A752" s="14" t="str">
        <x:v>D-B9C3E272</x:v>
      </x:c>
      <x:c r="B752" s="14" t="str">
        <x:v>在线阅读</x:v>
      </x:c>
      <x:c r="C752" s="14" t="str">
        <x:v>UMAP 官方文档</x:v>
      </x:c>
      <x:c r="D752" s="14" t="str">
        <x:v>英文</x:v>
      </x:c>
      <x:c r="E752" s="15" t="str">
        <x:v>未处理</x:v>
      </x:c>
      <x:c r="F752" s="15" t="str"/>
      <x:c r="G752" s="16" t="str">
        <x:v>https://umap-learn.readthedocs.io/</x:v>
      </x:c>
      <x:c r="H752" s="14" t="str">
        <x:v>I04</x:v>
      </x:c>
      <x:c r="I752" s="14" t="str">
        <x:v>方法/软件项目</x:v>
      </x:c>
      <x:c r="J752" s="18" t="str"/>
      <x:c r="K752" s="14" t="str">
        <x:v>教材 / 说明书 / 网页</x:v>
      </x:c>
      <x:c r="L752" s="14" t="str">
        <x:v>选读</x:v>
      </x:c>
      <x:c r="M752" s="14" t="str">
        <x:v>以网页课程、在线章节或项目文档形式提供。</x:v>
      </x:c>
      <x:c r="N752" s="14" t="str">
        <x:v>打开官方入口，使用站点提供的下载功能；网页教程可继续在线使用。</x:v>
      </x:c>
      <x:c r="O752" s="14" t="str">
        <x:v>本条目的方法说明、参数、示例或诊断入口。</x:v>
      </x:c>
      <x:c r="P752" s="14" t="str"/>
      <x:c r="Q752" s="14" t="str"/>
      <x:c r="R752" s="17"/>
      <x:c r="S752" s="14" t="str"/>
      <x:c r="T752" s="14" t="str"/>
      <x:c r="U752" s="19" t="n">
        <x:v>46303</x:v>
      </x:c>
    </x:row>
    <x:row r="753" ht="68" customHeight="1">
      <x:c r="A753" s="14" t="str">
        <x:v>D-ADFE79B4</x:v>
      </x:c>
      <x:c r="B753" s="14" t="str">
        <x:v>在线阅读</x:v>
      </x:c>
      <x:c r="C753" s="14" t="str">
        <x:v>KenQ Analysis（免费在线 Q 分析工具）</x:v>
      </x:c>
      <x:c r="D753" s="14" t="str">
        <x:v>英文</x:v>
      </x:c>
      <x:c r="E753" s="15" t="str">
        <x:v>未处理</x:v>
      </x:c>
      <x:c r="F753" s="15" t="str"/>
      <x:c r="G753" s="16" t="str">
        <x:v>https://shawnbanasick.github.io/ken-q-analysis/</x:v>
      </x:c>
      <x:c r="H753" s="14" t="str">
        <x:v>I05</x:v>
      </x:c>
      <x:c r="I753" s="14" t="str">
        <x:v>方法/软件项目</x:v>
      </x:c>
      <x:c r="J753" s="18" t="str"/>
      <x:c r="K753" s="14" t="str">
        <x:v>教材 / 说明书 / 网页</x:v>
      </x:c>
      <x:c r="L753" s="14" t="str">
        <x:v>选读</x:v>
      </x:c>
      <x:c r="M753" s="14" t="str">
        <x:v>以网页课程、在线章节或项目文档形式提供。</x:v>
      </x:c>
      <x:c r="N753" s="14" t="str">
        <x:v>打开官方入口，使用站点提供的下载功能；网页教程可继续在线使用。</x:v>
      </x:c>
      <x:c r="O753" s="14" t="str">
        <x:v>本条目的方法说明、参数、示例或诊断入口。</x:v>
      </x:c>
      <x:c r="P753" s="14" t="str"/>
      <x:c r="Q753" s="14" t="str"/>
      <x:c r="R753" s="17"/>
      <x:c r="S753" s="14" t="str"/>
      <x:c r="T753" s="14" t="str"/>
      <x:c r="U753" s="19" t="n">
        <x:v>46303</x:v>
      </x:c>
    </x:row>
    <x:row r="754" ht="68" customHeight="1">
      <x:c r="A754" s="14" t="str">
        <x:v>D-02F56EF1</x:v>
      </x:c>
      <x:c r="B754" s="14" t="str">
        <x:v>在线阅读</x:v>
      </x:c>
      <x:c r="C754" s="14" t="str">
        <x:v>qmethod 包</x:v>
      </x:c>
      <x:c r="D754" s="14" t="str">
        <x:v>英文</x:v>
      </x:c>
      <x:c r="E754" s="15" t="str">
        <x:v>未处理</x:v>
      </x:c>
      <x:c r="F754" s="15" t="str"/>
      <x:c r="G754" s="16" t="str">
        <x:v>https://cran.r-project.org/package=qmethod</x:v>
      </x:c>
      <x:c r="H754" s="14" t="str">
        <x:v>I05</x:v>
      </x:c>
      <x:c r="I754" s="14" t="str">
        <x:v>方法/软件项目</x:v>
      </x:c>
      <x:c r="J754" s="18" t="str"/>
      <x:c r="K754" s="14" t="str">
        <x:v>教材 / 说明书 / 网页</x:v>
      </x:c>
      <x:c r="L754" s="14" t="str">
        <x:v>选读</x:v>
      </x:c>
      <x:c r="M754" s="14" t="str">
        <x:v>以网页课程、在线章节或项目文档形式提供。</x:v>
      </x:c>
      <x:c r="N754" s="14" t="str">
        <x:v>打开官方入口，使用站点提供的下载功能；网页教程可继续在线使用。</x:v>
      </x:c>
      <x:c r="O754" s="14" t="str">
        <x:v>本条目的方法说明、参数、示例或诊断入口。</x:v>
      </x:c>
      <x:c r="P754" s="14" t="str"/>
      <x:c r="Q754" s="14" t="str"/>
      <x:c r="R754" s="17"/>
      <x:c r="S754" s="14" t="str"/>
      <x:c r="T754" s="14" t="str"/>
      <x:c r="U754" s="19" t="n">
        <x:v>46303</x:v>
      </x:c>
    </x:row>
    <x:row r="755" ht="68" customHeight="1">
      <x:c r="A755" s="14" t="str">
        <x:v>D-23091E6D</x:v>
      </x:c>
      <x:c r="B755" s="14" t="str">
        <x:v>在线阅读</x:v>
      </x:c>
      <x:c r="C755" s="14" t="str">
        <x:v>Quantitative Social Science · 作者配套数据与代码</x:v>
      </x:c>
      <x:c r="D755" s="14" t="str">
        <x:v>英文</x:v>
      </x:c>
      <x:c r="E755" s="15" t="str">
        <x:v>未处理</x:v>
      </x:c>
      <x:c r="F755" s="15" t="str"/>
      <x:c r="G755" s="16" t="str">
        <x:v>https://github.com/kosukeimai/qss</x:v>
      </x:c>
      <x:c r="H755" s="14" t="str">
        <x:v>I06；J13；J15</x:v>
      </x:c>
      <x:c r="I755" s="14" t="str">
        <x:v>Kosuke Imai</x:v>
      </x:c>
      <x:c r="J755" s="18" t="str"/>
      <x:c r="K755" s="14" t="str">
        <x:v>教学</x:v>
      </x:c>
      <x:c r="L755" s="14" t="str">
        <x:v>选读</x:v>
      </x:c>
      <x:c r="M755" s="14" t="str">
        <x:v>以网页课程、在线章节或项目文档形式提供。</x:v>
      </x:c>
      <x:c r="N755" s="14" t="str">
        <x:v>打开官方入口，使用站点提供的下载功能；网页教程可继续在线使用。</x:v>
      </x:c>
      <x:c r="O755" s="14" t="str">
        <x:v>从实质问题进入因果、测量、预测与不确定性；作者公开仓库中的章节材料。</x:v>
      </x:c>
      <x:c r="P755" s="14" t="str"/>
      <x:c r="Q755" s="14" t="str"/>
      <x:c r="R755" s="17"/>
      <x:c r="S755" s="14" t="str"/>
      <x:c r="T755" s="14" t="str"/>
      <x:c r="U755" s="19" t="n">
        <x:v>46303</x:v>
      </x:c>
    </x:row>
    <x:row r="756" ht="68" customHeight="1">
      <x:c r="A756" s="14" t="str">
        <x:v>D-6EE25FD7</x:v>
      </x:c>
      <x:c r="B756" s="14" t="str">
        <x:v>在线阅读</x:v>
      </x:c>
      <x:c r="C756" s="14" t="str">
        <x:v>QCA with R</x:v>
      </x:c>
      <x:c r="D756" s="14" t="str">
        <x:v>英文</x:v>
      </x:c>
      <x:c r="E756" s="15" t="str">
        <x:v>未处理</x:v>
      </x:c>
      <x:c r="F756" s="15" t="str"/>
      <x:c r="G756" s="16" t="str">
        <x:v>https://bookdown.org/dusadrian/QCAbook/</x:v>
      </x:c>
      <x:c r="H756" s="14" t="str">
        <x:v>I07</x:v>
      </x:c>
      <x:c r="I756" s="14" t="str">
        <x:v>Adrian Dușa</x:v>
      </x:c>
      <x:c r="J756" s="18" t="str"/>
      <x:c r="K756" s="14" t="str">
        <x:v>教学</x:v>
      </x:c>
      <x:c r="L756" s="14" t="str">
        <x:v>选读</x:v>
      </x:c>
      <x:c r="M756" s="14" t="str">
        <x:v>以网页课程、在线章节或项目文档形式提供。</x:v>
      </x:c>
      <x:c r="N756" s="14" t="str">
        <x:v>打开官方入口，使用站点提供的下载功能；网页教程可继续在线使用。</x:v>
      </x:c>
      <x:c r="O756" s="14" t="str">
        <x:v>校准、真值表与逻辑最小化的作者在线教材。</x:v>
      </x:c>
      <x:c r="P756" s="14" t="str"/>
      <x:c r="Q756" s="14" t="str"/>
      <x:c r="R756" s="17"/>
      <x:c r="S756" s="14" t="str"/>
      <x:c r="T756" s="14" t="str"/>
      <x:c r="U756" s="19" t="n">
        <x:v>46303</x:v>
      </x:c>
    </x:row>
    <x:row r="757" ht="68" customHeight="1">
      <x:c r="A757" s="14" t="str">
        <x:v>D-DF012723</x:v>
      </x:c>
      <x:c r="B757" s="14" t="str">
        <x:v>在线阅读</x:v>
      </x:c>
      <x:c r="C757" s="14" t="str">
        <x:v>R语言教程 · 43 基于树的方法</x:v>
      </x:c>
      <x:c r="D757" s="14" t="str">
        <x:v>中文</x:v>
      </x:c>
      <x:c r="E757" s="15" t="str">
        <x:v>未处理</x:v>
      </x:c>
      <x:c r="F757" s="15" t="str"/>
      <x:c r="G757" s="16" t="str">
        <x:v>https://math.pku.edu.cn/teachers/lidf/docs/Rbook/html/_Rbook/stat-learn-tree.html</x:v>
      </x:c>
      <x:c r="H757" s="14" t="str">
        <x:v>J01</x:v>
      </x:c>
      <x:c r="I757" s="14" t="str">
        <x:v>李东风 · 北京大学</x:v>
      </x:c>
      <x:c r="J757" s="18" t="str"/>
      <x:c r="K757" s="14" t="str">
        <x:v>教材 / 说明书 / 网页</x:v>
      </x:c>
      <x:c r="L757" s="14" t="str">
        <x:v>选读</x:v>
      </x:c>
      <x:c r="M757" s="14" t="str">
        <x:v>以网页课程、在线章节或项目文档形式提供。</x:v>
      </x:c>
      <x:c r="N757" s="14" t="str">
        <x:v>打开官方入口，使用站点提供的下载功能；网页教程可继续在线使用。</x:v>
      </x:c>
      <x:c r="O757" s="14" t="str">
        <x:v>作者课程讲义，含 R 示例与章节练习。</x:v>
      </x:c>
      <x:c r="P757" s="14" t="str"/>
      <x:c r="Q757" s="14" t="str"/>
      <x:c r="R757" s="17"/>
      <x:c r="S757" s="14" t="str"/>
      <x:c r="T757" s="14" t="str"/>
      <x:c r="U757" s="19" t="n">
        <x:v>46303</x:v>
      </x:c>
    </x:row>
    <x:row r="758" ht="68" customHeight="1">
      <x:c r="A758" s="14" t="str">
        <x:v>D-D9A67581</x:v>
      </x:c>
      <x:c r="B758" s="14" t="str">
        <x:v>在线阅读</x:v>
      </x:c>
      <x:c r="C758" s="14" t="str">
        <x:v>scikit-learn 用户指南</x:v>
      </x:c>
      <x:c r="D758" s="14" t="str">
        <x:v>英文</x:v>
      </x:c>
      <x:c r="E758" s="15" t="str">
        <x:v>未处理</x:v>
      </x:c>
      <x:c r="F758" s="15" t="str"/>
      <x:c r="G758" s="16" t="str">
        <x:v>https://scikit-learn.org/stable/user_guide.html</x:v>
      </x:c>
      <x:c r="H758" s="14" t="str">
        <x:v>J01</x:v>
      </x:c>
      <x:c r="I758" s="14" t="str">
        <x:v>方法/软件项目</x:v>
      </x:c>
      <x:c r="J758" s="18" t="str"/>
      <x:c r="K758" s="14" t="str">
        <x:v>教材 / 说明书 / 网页</x:v>
      </x:c>
      <x:c r="L758" s="14" t="str">
        <x:v>选读</x:v>
      </x:c>
      <x:c r="M758" s="14" t="str">
        <x:v>以网页课程、在线章节或项目文档形式提供。</x:v>
      </x:c>
      <x:c r="N758" s="14" t="str">
        <x:v>打开官方入口，使用站点提供的下载功能；网页教程可继续在线使用。</x:v>
      </x:c>
      <x:c r="O758" s="14" t="str">
        <x:v>本条目的方法说明、参数、示例或诊断入口。</x:v>
      </x:c>
      <x:c r="P758" s="14" t="str"/>
      <x:c r="Q758" s="14" t="str"/>
      <x:c r="R758" s="17"/>
      <x:c r="S758" s="14" t="str"/>
      <x:c r="T758" s="14" t="str"/>
      <x:c r="U758" s="19" t="n">
        <x:v>46303</x:v>
      </x:c>
    </x:row>
    <x:row r="759" ht="68" customHeight="1">
      <x:c r="A759" s="14" t="str">
        <x:v>D-F40E3A92</x:v>
      </x:c>
      <x:c r="B759" s="14" t="str">
        <x:v>在线阅读</x:v>
      </x:c>
      <x:c r="C759" s="14" t="str">
        <x:v>tidymodels（R 机器学习框架）</x:v>
      </x:c>
      <x:c r="D759" s="14" t="str">
        <x:v>英文</x:v>
      </x:c>
      <x:c r="E759" s="15" t="str">
        <x:v>未处理</x:v>
      </x:c>
      <x:c r="F759" s="15" t="str"/>
      <x:c r="G759" s="16" t="str">
        <x:v>https://www.tidymodels.org/</x:v>
      </x:c>
      <x:c r="H759" s="14" t="str">
        <x:v>J01</x:v>
      </x:c>
      <x:c r="I759" s="14" t="str">
        <x:v>方法/软件项目</x:v>
      </x:c>
      <x:c r="J759" s="18" t="str"/>
      <x:c r="K759" s="14" t="str">
        <x:v>教材 / 说明书 / 网页</x:v>
      </x:c>
      <x:c r="L759" s="14" t="str">
        <x:v>选读</x:v>
      </x:c>
      <x:c r="M759" s="14" t="str">
        <x:v>以网页课程、在线章节或项目文档形式提供。</x:v>
      </x:c>
      <x:c r="N759" s="14" t="str">
        <x:v>打开官方入口，使用站点提供的下载功能；网页教程可继续在线使用。</x:v>
      </x:c>
      <x:c r="O759" s="14" t="str">
        <x:v>本条目的方法说明、参数、示例或诊断入口。</x:v>
      </x:c>
      <x:c r="P759" s="14" t="str"/>
      <x:c r="Q759" s="14" t="str"/>
      <x:c r="R759" s="17"/>
      <x:c r="S759" s="14" t="str"/>
      <x:c r="T759" s="14" t="str"/>
      <x:c r="U759" s="19" t="n">
        <x:v>46303</x:v>
      </x:c>
    </x:row>
    <x:row r="760" ht="68" customHeight="1">
      <x:c r="A760" s="14" t="str">
        <x:v>D-AFCD2852</x:v>
      </x:c>
      <x:c r="B760" s="14" t="str">
        <x:v>在线阅读</x:v>
      </x:c>
      <x:c r="C760" s="14" t="str">
        <x:v>动手学深度学习 · 实战 Kaggle 比赛：预测房价</x:v>
      </x:c>
      <x:c r="D760" s="14" t="str">
        <x:v>中文</x:v>
      </x:c>
      <x:c r="E760" s="15" t="str">
        <x:v>未处理</x:v>
      </x:c>
      <x:c r="F760" s="15" t="str"/>
      <x:c r="G760" s="16" t="str">
        <x:v>https://zh-v2.d2l.ai/chapter_multilayer-perceptrons/kaggle-house-price.html</x:v>
      </x:c>
      <x:c r="H760" s="14" t="str">
        <x:v>J01；J02</x:v>
      </x:c>
      <x:c r="I760" s="14" t="str">
        <x:v>张阿斯顿、李沐等</x:v>
      </x:c>
      <x:c r="J760" s="18" t="str"/>
      <x:c r="K760" s="14" t="str">
        <x:v>教材 / 说明书 / 网页</x:v>
      </x:c>
      <x:c r="L760" s="14" t="str">
        <x:v>选读</x:v>
      </x:c>
      <x:c r="M760" s="14" t="str">
        <x:v>以网页课程、在线章节或项目文档形式提供。</x:v>
      </x:c>
      <x:c r="N760" s="14" t="str">
        <x:v>打开官方入口，使用站点提供的下载功能；网页教程可继续在线使用。</x:v>
      </x:c>
      <x:c r="O760" s="14" t="str">
        <x:v>作者开放教材章节，含代码和练习。</x:v>
      </x:c>
      <x:c r="P760" s="14" t="str"/>
      <x:c r="Q760" s="14" t="str"/>
      <x:c r="R760" s="17"/>
      <x:c r="S760" s="14" t="str"/>
      <x:c r="T760" s="14" t="str"/>
      <x:c r="U760" s="19" t="n">
        <x:v>46303</x:v>
      </x:c>
    </x:row>
    <x:row r="761" ht="68" customHeight="1">
      <x:c r="A761" s="14" t="str">
        <x:v>D-73E861AF</x:v>
      </x:c>
      <x:c r="B761" s="14" t="str">
        <x:v>在线阅读</x:v>
      </x:c>
      <x:c r="C761" s="14" t="str">
        <x:v>scikit-learn User Guide</x:v>
      </x:c>
      <x:c r="D761" s="14" t="str">
        <x:v>英文</x:v>
      </x:c>
      <x:c r="E761" s="15" t="str">
        <x:v>未处理</x:v>
      </x:c>
      <x:c r="F761" s="15" t="str"/>
      <x:c r="G761" s="16" t="str">
        <x:v>https://scikit-learn.org/stable/user_guide</x:v>
      </x:c>
      <x:c r="H761" s="14" t="str">
        <x:v>J01；J02；J03；J04；J05；J06；J07；J08；J09；J10；J11；J12</x:v>
      </x:c>
      <x:c r="I761" s="14" t="str">
        <x:v>scikit-learn</x:v>
      </x:c>
      <x:c r="J761" s="18" t="str"/>
      <x:c r="K761" s="14" t="str">
        <x:v>教材 / 说明书 / 网页</x:v>
      </x:c>
      <x:c r="L761" s="14" t="str">
        <x:v>选读</x:v>
      </x:c>
      <x:c r="M761" s="14" t="str">
        <x:v>以网页课程、在线章节或项目文档形式提供。</x:v>
      </x:c>
      <x:c r="N761" s="14" t="str">
        <x:v>打开官方入口，使用站点提供的下载功能；网页教程可继续在线使用。</x:v>
      </x:c>
      <x:c r="O761" s="14" t="str">
        <x:v>模型选择、交叉验证、预处理、指标、泄漏防范和示例。</x:v>
      </x:c>
      <x:c r="P761" s="14" t="str"/>
      <x:c r="Q761" s="14" t="str"/>
      <x:c r="R761" s="17"/>
      <x:c r="S761" s="14" t="str"/>
      <x:c r="T761" s="14" t="str"/>
      <x:c r="U761" s="19" t="n">
        <x:v>46303</x:v>
      </x:c>
    </x:row>
    <x:row r="762" ht="68" customHeight="1">
      <x:c r="A762" s="14" t="str">
        <x:v>D-96C928B0</x:v>
      </x:c>
      <x:c r="B762" s="14" t="str">
        <x:v>在线阅读</x:v>
      </x:c>
      <x:c r="C762" s="14" t="str">
        <x:v>SICSS Learning Materials</x:v>
      </x:c>
      <x:c r="D762" s="14" t="str">
        <x:v>英文</x:v>
      </x:c>
      <x:c r="E762" s="15" t="str">
        <x:v>未处理</x:v>
      </x:c>
      <x:c r="F762" s="15" t="str"/>
      <x:c r="G762" s="16" t="str">
        <x:v>https://sicss.io/curriculum</x:v>
      </x:c>
      <x:c r="H762" s="14" t="str">
        <x:v>J01；J02；J03；J04；J05；J06；J07；J08；J09；J10；J11；J12</x:v>
      </x:c>
      <x:c r="I762" s="14" t="str">
        <x:v>Summer Institute in Computational Social Science</x:v>
      </x:c>
      <x:c r="J762" s="18" t="str"/>
      <x:c r="K762" s="14" t="str">
        <x:v>教材 / 说明书 / 网页</x:v>
      </x:c>
      <x:c r="L762" s="14" t="str">
        <x:v>选读</x:v>
      </x:c>
      <x:c r="M762" s="14" t="str">
        <x:v>以网页课程、在线章节或项目文档形式提供。</x:v>
      </x:c>
      <x:c r="N762" s="14" t="str">
        <x:v>打开官方入口，使用站点提供的下载功能；网页教程可继续在线使用。</x:v>
      </x:c>
      <x:c r="O762" s="14" t="str">
        <x:v>开放的计算社会科学课程、讲义、代码和练习。</x:v>
      </x:c>
      <x:c r="P762" s="14" t="str"/>
      <x:c r="Q762" s="14" t="str"/>
      <x:c r="R762" s="17"/>
      <x:c r="S762" s="14" t="str"/>
      <x:c r="T762" s="14" t="str"/>
      <x:c r="U762" s="19" t="n">
        <x:v>46303</x:v>
      </x:c>
    </x:row>
    <x:row r="763" ht="68" customHeight="1">
      <x:c r="A763" s="14" t="str">
        <x:v>D-519A5560</x:v>
      </x:c>
      <x:c r="B763" s="14" t="str">
        <x:v>在线阅读</x:v>
      </x:c>
      <x:c r="C763" s="14" t="str">
        <x:v>Speech and Language Processing (3e draft)</x:v>
      </x:c>
      <x:c r="D763" s="14" t="str">
        <x:v>英文</x:v>
      </x:c>
      <x:c r="E763" s="15" t="str">
        <x:v>未处理</x:v>
      </x:c>
      <x:c r="F763" s="15" t="str"/>
      <x:c r="G763" s="16" t="str">
        <x:v>https://web.stanford.edu/~jurafsky/slp3/</x:v>
      </x:c>
      <x:c r="H763" s="14" t="str">
        <x:v>J01；J02；J03；J04；J05；J06；J07；J08；J09；J10；J11；J12</x:v>
      </x:c>
      <x:c r="I763" s="14" t="str">
        <x:v>Stanford / Jurafsky &amp; Martin</x:v>
      </x:c>
      <x:c r="J763" s="18" t="str"/>
      <x:c r="K763" s="14" t="str">
        <x:v>教材 / 说明书 / 网页</x:v>
      </x:c>
      <x:c r="L763" s="14" t="str">
        <x:v>选读</x:v>
      </x:c>
      <x:c r="M763" s="14" t="str">
        <x:v>以网页课程、在线章节或项目文档形式提供。</x:v>
      </x:c>
      <x:c r="N763" s="14" t="str">
        <x:v>打开官方入口，使用站点提供的下载功能；网页教程可继续在线使用。</x:v>
      </x:c>
      <x:c r="O763" s="14" t="str">
        <x:v>文本分类、词向量、语言模型、Transformer 与 NLP 评估。</x:v>
      </x:c>
      <x:c r="P763" s="14" t="str"/>
      <x:c r="Q763" s="14" t="str"/>
      <x:c r="R763" s="17"/>
      <x:c r="S763" s="14" t="str"/>
      <x:c r="T763" s="14" t="str"/>
      <x:c r="U763" s="19" t="n">
        <x:v>46303</x:v>
      </x:c>
    </x:row>
    <x:row r="764" ht="68" customHeight="1">
      <x:c r="A764" s="14" t="str">
        <x:v>D-388CAF13</x:v>
      </x:c>
      <x:c r="B764" s="14" t="str">
        <x:v>在线阅读</x:v>
      </x:c>
      <x:c r="C764" s="14" t="str">
        <x:v>Forecasting: Principles and Practice · Time series cross-validation</x:v>
      </x:c>
      <x:c r="D764" s="14" t="str">
        <x:v>英文</x:v>
      </x:c>
      <x:c r="E764" s="15" t="str">
        <x:v>未处理</x:v>
      </x:c>
      <x:c r="F764" s="15" t="str"/>
      <x:c r="G764" s="16" t="str">
        <x:v>https://otexts.com/fpp3/tscv.html</x:v>
      </x:c>
      <x:c r="H764" s="14" t="str">
        <x:v>J02</x:v>
      </x:c>
      <x:c r="I764" s="14" t="str">
        <x:v>Rob J Hyndman; George Athanasopoulos</x:v>
      </x:c>
      <x:c r="J764" s="18" t="str"/>
      <x:c r="K764" s="14" t="str">
        <x:v>教学</x:v>
      </x:c>
      <x:c r="L764" s="14" t="str">
        <x:v>选读</x:v>
      </x:c>
      <x:c r="M764" s="14" t="str">
        <x:v>以网页课程、在线章节或项目文档形式提供。</x:v>
      </x:c>
      <x:c r="N764" s="14" t="str">
        <x:v>打开官方入口，使用站点提供的下载功能；网页教程可继续在线使用。</x:v>
      </x:c>
      <x:c r="O764" s="14" t="str">
        <x:v>理解时间顺序与滚动预测原点；不能随机打乱未来信息。</x:v>
      </x:c>
      <x:c r="P764" s="14" t="str"/>
      <x:c r="Q764" s="14" t="str"/>
      <x:c r="R764" s="17"/>
      <x:c r="S764" s="14" t="str"/>
      <x:c r="T764" s="14" t="str"/>
      <x:c r="U764" s="19" t="n">
        <x:v>46303</x:v>
      </x:c>
    </x:row>
    <x:row r="765" ht="68" customHeight="1">
      <x:c r="A765" s="14" t="str">
        <x:v>D-D759C8E4</x:v>
      </x:c>
      <x:c r="B765" s="14" t="str">
        <x:v>在线阅读</x:v>
      </x:c>
      <x:c r="C765" s="14" t="str">
        <x:v>rsample（各种重抽样方案）</x:v>
      </x:c>
      <x:c r="D765" s="14" t="str">
        <x:v>英文</x:v>
      </x:c>
      <x:c r="E765" s="15" t="str">
        <x:v>未处理</x:v>
      </x:c>
      <x:c r="F765" s="15" t="str"/>
      <x:c r="G765" s="16" t="str">
        <x:v>https://rsample.tidymodels.org/</x:v>
      </x:c>
      <x:c r="H765" s="14" t="str">
        <x:v>J02</x:v>
      </x:c>
      <x:c r="I765" s="14" t="str">
        <x:v>方法/软件项目</x:v>
      </x:c>
      <x:c r="J765" s="18" t="str"/>
      <x:c r="K765" s="14" t="str">
        <x:v>教材 / 说明书 / 网页</x:v>
      </x:c>
      <x:c r="L765" s="14" t="str">
        <x:v>选读</x:v>
      </x:c>
      <x:c r="M765" s="14" t="str">
        <x:v>以网页课程、在线章节或项目文档形式提供。</x:v>
      </x:c>
      <x:c r="N765" s="14" t="str">
        <x:v>打开官方入口，使用站点提供的下载功能；网页教程可继续在线使用。</x:v>
      </x:c>
      <x:c r="O765" s="14" t="str">
        <x:v>本条目的方法说明、参数、示例或诊断入口。</x:v>
      </x:c>
      <x:c r="P765" s="14" t="str"/>
      <x:c r="Q765" s="14" t="str"/>
      <x:c r="R765" s="17"/>
      <x:c r="S765" s="14" t="str"/>
      <x:c r="T765" s="14" t="str"/>
      <x:c r="U765" s="19" t="n">
        <x:v>46303</x:v>
      </x:c>
    </x:row>
    <x:row r="766" ht="68" customHeight="1">
      <x:c r="A766" s="14" t="str">
        <x:v>D-549DC930</x:v>
      </x:c>
      <x:c r="B766" s="14" t="str">
        <x:v>在线阅读</x:v>
      </x:c>
      <x:c r="C766" s="14" t="str">
        <x:v>R语言教程 · 41 统计学习介绍</x:v>
      </x:c>
      <x:c r="D766" s="14" t="str">
        <x:v>中文</x:v>
      </x:c>
      <x:c r="E766" s="15" t="str">
        <x:v>未处理</x:v>
      </x:c>
      <x:c r="F766" s="15" t="str"/>
      <x:c r="G766" s="16" t="str">
        <x:v>https://math.pku.edu.cn/teachers/lidf/docs/Rbook/html/_Rbook/stat-learn-intro.html</x:v>
      </x:c>
      <x:c r="H766" s="14" t="str">
        <x:v>J02</x:v>
      </x:c>
      <x:c r="I766" s="14" t="str">
        <x:v>李东风 · 北京大学</x:v>
      </x:c>
      <x:c r="J766" s="18" t="str"/>
      <x:c r="K766" s="14" t="str">
        <x:v>教材 / 说明书 / 网页</x:v>
      </x:c>
      <x:c r="L766" s="14" t="str">
        <x:v>选读</x:v>
      </x:c>
      <x:c r="M766" s="14" t="str">
        <x:v>以网页课程、在线章节或项目文档形式提供。</x:v>
      </x:c>
      <x:c r="N766" s="14" t="str">
        <x:v>打开官方入口，使用站点提供的下载功能；网页教程可继续在线使用。</x:v>
      </x:c>
      <x:c r="O766" s="14" t="str">
        <x:v>作者课程讲义，含 R 示例与章节练习。</x:v>
      </x:c>
      <x:c r="P766" s="14" t="str"/>
      <x:c r="Q766" s="14" t="str"/>
      <x:c r="R766" s="17"/>
      <x:c r="S766" s="14" t="str"/>
      <x:c r="T766" s="14" t="str"/>
      <x:c r="U766" s="19" t="n">
        <x:v>46303</x:v>
      </x:c>
    </x:row>
    <x:row r="767" ht="68" customHeight="1">
      <x:c r="A767" s="14" t="str">
        <x:v>D-0BAC0785</x:v>
      </x:c>
      <x:c r="B767" s="14" t="str">
        <x:v>在线阅读</x:v>
      </x:c>
      <x:c r="C767" s="14" t="str">
        <x:v>R语言教程 · 46 整洁建模基础</x:v>
      </x:c>
      <x:c r="D767" s="14" t="str">
        <x:v>中文</x:v>
      </x:c>
      <x:c r="E767" s="15" t="str">
        <x:v>未处理</x:v>
      </x:c>
      <x:c r="F767" s="15" t="str"/>
      <x:c r="G767" s="16" t="str">
        <x:v>https://math.pku.edu.cn/teachers/lidf/docs/Rbook/html/_Rbook/stat-tidy-basic.html</x:v>
      </x:c>
      <x:c r="H767" s="14" t="str">
        <x:v>J02</x:v>
      </x:c>
      <x:c r="I767" s="14" t="str">
        <x:v>李东风 · 北京大学</x:v>
      </x:c>
      <x:c r="J767" s="18" t="str"/>
      <x:c r="K767" s="14" t="str">
        <x:v>教材 / 说明书 / 网页</x:v>
      </x:c>
      <x:c r="L767" s="14" t="str">
        <x:v>选读</x:v>
      </x:c>
      <x:c r="M767" s="14" t="str">
        <x:v>以网页课程、在线章节或项目文档形式提供。</x:v>
      </x:c>
      <x:c r="N767" s="14" t="str">
        <x:v>打开官方入口，使用站点提供的下载功能；网页教程可继续在线使用。</x:v>
      </x:c>
      <x:c r="O767" s="14" t="str">
        <x:v>作者课程讲义，含 R 示例与章节练习。</x:v>
      </x:c>
      <x:c r="P767" s="14" t="str"/>
      <x:c r="Q767" s="14" t="str"/>
      <x:c r="R767" s="17"/>
      <x:c r="S767" s="14" t="str"/>
      <x:c r="T767" s="14" t="str"/>
      <x:c r="U767" s="19" t="n">
        <x:v>46303</x:v>
      </x:c>
    </x:row>
    <x:row r="768" ht="68" customHeight="1">
      <x:c r="A768" s="14" t="str">
        <x:v>D-C228E644</x:v>
      </x:c>
      <x:c r="B768" s="14" t="str">
        <x:v>在线阅读</x:v>
      </x:c>
      <x:c r="C768" s="14" t="str">
        <x:v>R语言教程 · 47 整洁建模中模型调优</x:v>
      </x:c>
      <x:c r="D768" s="14" t="str">
        <x:v>中文</x:v>
      </x:c>
      <x:c r="E768" s="15" t="str">
        <x:v>未处理</x:v>
      </x:c>
      <x:c r="F768" s="15" t="str"/>
      <x:c r="G768" s="16" t="str">
        <x:v>https://math.pku.edu.cn/teachers/lidf/docs/Rbook/html/_Rbook/stat-tidy-modtune.html</x:v>
      </x:c>
      <x:c r="H768" s="14" t="str">
        <x:v>J02</x:v>
      </x:c>
      <x:c r="I768" s="14" t="str">
        <x:v>李东风 · 北京大学</x:v>
      </x:c>
      <x:c r="J768" s="18" t="str"/>
      <x:c r="K768" s="14" t="str">
        <x:v>教材 / 说明书 / 网页</x:v>
      </x:c>
      <x:c r="L768" s="14" t="str">
        <x:v>选读</x:v>
      </x:c>
      <x:c r="M768" s="14" t="str">
        <x:v>以网页课程、在线章节或项目文档形式提供。</x:v>
      </x:c>
      <x:c r="N768" s="14" t="str">
        <x:v>打开官方入口，使用站点提供的下载功能；网页教程可继续在线使用。</x:v>
      </x:c>
      <x:c r="O768" s="14" t="str">
        <x:v>作者课程讲义，含 R 示例与章节练习。</x:v>
      </x:c>
      <x:c r="P768" s="14" t="str"/>
      <x:c r="Q768" s="14" t="str"/>
      <x:c r="R768" s="17"/>
      <x:c r="S768" s="14" t="str"/>
      <x:c r="T768" s="14" t="str"/>
      <x:c r="U768" s="19" t="n">
        <x:v>46303</x:v>
      </x:c>
    </x:row>
    <x:row r="769" ht="68" customHeight="1">
      <x:c r="A769" s="14" t="str">
        <x:v>D-A3CA1818</x:v>
      </x:c>
      <x:c r="B769" s="14" t="str">
        <x:v>在线阅读</x:v>
      </x:c>
      <x:c r="C769" s="14" t="str">
        <x:v>Interpretable Machine Learning（Molnar，免费在线书）</x:v>
      </x:c>
      <x:c r="D769" s="14" t="str">
        <x:v>英文</x:v>
      </x:c>
      <x:c r="E769" s="15" t="str">
        <x:v>未处理</x:v>
      </x:c>
      <x:c r="F769" s="15" t="str"/>
      <x:c r="G769" s="16" t="str">
        <x:v>https://christophm.github.io/interpretable-ml-book/</x:v>
      </x:c>
      <x:c r="H769" s="14" t="str">
        <x:v>J03</x:v>
      </x:c>
      <x:c r="I769" s="14" t="str">
        <x:v>方法/软件项目</x:v>
      </x:c>
      <x:c r="J769" s="18" t="str"/>
      <x:c r="K769" s="14" t="str">
        <x:v>教材 / 说明书 / 网页</x:v>
      </x:c>
      <x:c r="L769" s="14" t="str">
        <x:v>选读</x:v>
      </x:c>
      <x:c r="M769" s="14" t="str">
        <x:v>以网页课程、在线章节或项目文档形式提供。</x:v>
      </x:c>
      <x:c r="N769" s="14" t="str">
        <x:v>打开官方入口，使用站点提供的下载功能；网页教程可继续在线使用。</x:v>
      </x:c>
      <x:c r="O769" s="14" t="str">
        <x:v>本条目的方法说明、参数、示例或诊断入口。</x:v>
      </x:c>
      <x:c r="P769" s="14" t="str"/>
      <x:c r="Q769" s="14" t="str"/>
      <x:c r="R769" s="17"/>
      <x:c r="S769" s="14" t="str"/>
      <x:c r="T769" s="14" t="str"/>
      <x:c r="U769" s="19" t="n">
        <x:v>46303</x:v>
      </x:c>
    </x:row>
    <x:row r="770" ht="68" customHeight="1">
      <x:c r="A770" s="14" t="str">
        <x:v>D-7325BA6E</x:v>
      </x:c>
      <x:c r="B770" s="14" t="str">
        <x:v>在线阅读</x:v>
      </x:c>
      <x:c r="C770" s="14" t="str">
        <x:v>shap 官方文档</x:v>
      </x:c>
      <x:c r="D770" s="14" t="str">
        <x:v>英文</x:v>
      </x:c>
      <x:c r="E770" s="15" t="str">
        <x:v>未处理</x:v>
      </x:c>
      <x:c r="F770" s="15" t="str"/>
      <x:c r="G770" s="16" t="str">
        <x:v>https://shap.readthedocs.io/</x:v>
      </x:c>
      <x:c r="H770" s="14" t="str">
        <x:v>J03</x:v>
      </x:c>
      <x:c r="I770" s="14" t="str">
        <x:v>方法/软件项目</x:v>
      </x:c>
      <x:c r="J770" s="18" t="str"/>
      <x:c r="K770" s="14" t="str">
        <x:v>教材 / 说明书 / 网页</x:v>
      </x:c>
      <x:c r="L770" s="14" t="str">
        <x:v>选读</x:v>
      </x:c>
      <x:c r="M770" s="14" t="str">
        <x:v>以网页课程、在线章节或项目文档形式提供。</x:v>
      </x:c>
      <x:c r="N770" s="14" t="str">
        <x:v>打开官方入口，使用站点提供的下载功能；网页教程可继续在线使用。</x:v>
      </x:c>
      <x:c r="O770" s="14" t="str">
        <x:v>本条目的方法说明、参数、示例或诊断入口。</x:v>
      </x:c>
      <x:c r="P770" s="14" t="str"/>
      <x:c r="Q770" s="14" t="str"/>
      <x:c r="R770" s="17"/>
      <x:c r="S770" s="14" t="str"/>
      <x:c r="T770" s="14" t="str"/>
      <x:c r="U770" s="19" t="n">
        <x:v>46303</x:v>
      </x:c>
    </x:row>
    <x:row r="771" ht="68" customHeight="1">
      <x:c r="A771" s="14" t="str">
        <x:v>D-78B178BD</x:v>
      </x:c>
      <x:c r="B771" s="14" t="str">
        <x:v>在线阅读</x:v>
      </x:c>
      <x:c r="C771" s="14" t="str">
        <x:v>LIWC 官方站（含中文版 SCLIWC）</x:v>
      </x:c>
      <x:c r="D771" s="14" t="str">
        <x:v>英文</x:v>
      </x:c>
      <x:c r="E771" s="15" t="str">
        <x:v>未处理</x:v>
      </x:c>
      <x:c r="F771" s="15" t="str"/>
      <x:c r="G771" s="16" t="str">
        <x:v>https://www.liwc.app/</x:v>
      </x:c>
      <x:c r="H771" s="14" t="str">
        <x:v>J04</x:v>
      </x:c>
      <x:c r="I771" s="14" t="str">
        <x:v>方法/软件项目</x:v>
      </x:c>
      <x:c r="J771" s="18" t="str"/>
      <x:c r="K771" s="14" t="str">
        <x:v>教材 / 说明书 / 网页</x:v>
      </x:c>
      <x:c r="L771" s="14" t="str">
        <x:v>选读</x:v>
      </x:c>
      <x:c r="M771" s="14" t="str">
        <x:v>以网页课程、在线章节或项目文档形式提供。</x:v>
      </x:c>
      <x:c r="N771" s="14" t="str">
        <x:v>打开官方入口，使用站点提供的下载功能；网页教程可继续在线使用。</x:v>
      </x:c>
      <x:c r="O771" s="14" t="str">
        <x:v>本条目的方法说明、参数、示例或诊断入口。</x:v>
      </x:c>
      <x:c r="P771" s="14" t="str"/>
      <x:c r="Q771" s="14" t="str"/>
      <x:c r="R771" s="17"/>
      <x:c r="S771" s="14" t="str"/>
      <x:c r="T771" s="14" t="str"/>
      <x:c r="U771" s="19" t="n">
        <x:v>46303</x:v>
      </x:c>
    </x:row>
    <x:row r="772" ht="68" customHeight="1">
      <x:c r="A772" s="14" t="str">
        <x:v>D-84978B45</x:v>
      </x:c>
      <x:c r="B772" s="14" t="str">
        <x:v>在线阅读</x:v>
      </x:c>
      <x:c r="C772" s="14" t="str">
        <x:v>quanteda 官方教程</x:v>
      </x:c>
      <x:c r="D772" s="14" t="str">
        <x:v>英文</x:v>
      </x:c>
      <x:c r="E772" s="15" t="str">
        <x:v>未处理</x:v>
      </x:c>
      <x:c r="F772" s="15" t="str"/>
      <x:c r="G772" s="16" t="str">
        <x:v>https://quanteda.io/</x:v>
      </x:c>
      <x:c r="H772" s="14" t="str">
        <x:v>J04</x:v>
      </x:c>
      <x:c r="I772" s="14" t="str">
        <x:v>方法/软件项目</x:v>
      </x:c>
      <x:c r="J772" s="18" t="str"/>
      <x:c r="K772" s="14" t="str">
        <x:v>教材 / 说明书 / 网页</x:v>
      </x:c>
      <x:c r="L772" s="14" t="str">
        <x:v>选读</x:v>
      </x:c>
      <x:c r="M772" s="14" t="str">
        <x:v>以网页课程、在线章节或项目文档形式提供。</x:v>
      </x:c>
      <x:c r="N772" s="14" t="str">
        <x:v>打开官方入口，使用站点提供的下载功能；网页教程可继续在线使用。</x:v>
      </x:c>
      <x:c r="O772" s="14" t="str">
        <x:v>本条目的方法说明、参数、示例或诊断入口。</x:v>
      </x:c>
      <x:c r="P772" s="14" t="str"/>
      <x:c r="Q772" s="14" t="str"/>
      <x:c r="R772" s="17"/>
      <x:c r="S772" s="14" t="str"/>
      <x:c r="T772" s="14" t="str"/>
      <x:c r="U772" s="19" t="n">
        <x:v>46303</x:v>
      </x:c>
    </x:row>
    <x:row r="773" ht="68" customHeight="1">
      <x:c r="A773" s="14" t="str">
        <x:v>D-06FA681B</x:v>
      </x:c>
      <x:c r="B773" s="14" t="str">
        <x:v>在线阅读</x:v>
      </x:c>
      <x:c r="C773" s="14" t="str">
        <x:v>R语言教程 · 50 文本应用</x:v>
      </x:c>
      <x:c r="D773" s="14" t="str">
        <x:v>中文</x:v>
      </x:c>
      <x:c r="E773" s="15" t="str">
        <x:v>未处理</x:v>
      </x:c>
      <x:c r="F773" s="15" t="str"/>
      <x:c r="G773" s="16" t="str">
        <x:v>https://math.pku.edu.cn/teachers/lidf/docs/Rbook/html/_Rbook/textapp.html</x:v>
      </x:c>
      <x:c r="H773" s="14" t="str">
        <x:v>J04；J05</x:v>
      </x:c>
      <x:c r="I773" s="14" t="str">
        <x:v>李东风 · 北京大学</x:v>
      </x:c>
      <x:c r="J773" s="18" t="str"/>
      <x:c r="K773" s="14" t="str">
        <x:v>教材 / 说明书 / 网页</x:v>
      </x:c>
      <x:c r="L773" s="14" t="str">
        <x:v>选读</x:v>
      </x:c>
      <x:c r="M773" s="14" t="str">
        <x:v>以网页课程、在线章节或项目文档形式提供。</x:v>
      </x:c>
      <x:c r="N773" s="14" t="str">
        <x:v>打开官方入口，使用站点提供的下载功能；网页教程可继续在线使用。</x:v>
      </x:c>
      <x:c r="O773" s="14" t="str">
        <x:v>作者课程讲义，含 R 示例与章节练习。</x:v>
      </x:c>
      <x:c r="P773" s="14" t="str"/>
      <x:c r="Q773" s="14" t="str"/>
      <x:c r="R773" s="17"/>
      <x:c r="S773" s="14" t="str"/>
      <x:c r="T773" s="14" t="str"/>
      <x:c r="U773" s="19" t="n">
        <x:v>46303</x:v>
      </x:c>
    </x:row>
    <x:row r="774" ht="68" customHeight="1">
      <x:c r="A774" s="14" t="str">
        <x:v>D-E029F200</x:v>
      </x:c>
      <x:c r="B774" s="14" t="str">
        <x:v>在线阅读</x:v>
      </x:c>
      <x:c r="C774" s="14" t="str">
        <x:v>动手学深度学习 · 文本预处理</x:v>
      </x:c>
      <x:c r="D774" s="14" t="str">
        <x:v>中文</x:v>
      </x:c>
      <x:c r="E774" s="15" t="str">
        <x:v>未处理</x:v>
      </x:c>
      <x:c r="F774" s="15" t="str"/>
      <x:c r="G774" s="16" t="str">
        <x:v>https://zh-v2.d2l.ai/chapter_recurrent-neural-networks/text-preprocessing.html</x:v>
      </x:c>
      <x:c r="H774" s="14" t="str">
        <x:v>J04；J05；J12</x:v>
      </x:c>
      <x:c r="I774" s="14" t="str">
        <x:v>张阿斯顿、李沐等</x:v>
      </x:c>
      <x:c r="J774" s="18" t="str"/>
      <x:c r="K774" s="14" t="str">
        <x:v>教材 / 说明书 / 网页</x:v>
      </x:c>
      <x:c r="L774" s="14" t="str">
        <x:v>选读</x:v>
      </x:c>
      <x:c r="M774" s="14" t="str">
        <x:v>以网页课程、在线章节或项目文档形式提供。</x:v>
      </x:c>
      <x:c r="N774" s="14" t="str">
        <x:v>打开官方入口，使用站点提供的下载功能；网页教程可继续在线使用。</x:v>
      </x:c>
      <x:c r="O774" s="14" t="str">
        <x:v>作者开放教材章节，含代码和练习。</x:v>
      </x:c>
      <x:c r="P774" s="14" t="str"/>
      <x:c r="Q774" s="14" t="str"/>
      <x:c r="R774" s="17"/>
      <x:c r="S774" s="14" t="str"/>
      <x:c r="T774" s="14" t="str"/>
      <x:c r="U774" s="19" t="n">
        <x:v>46303</x:v>
      </x:c>
    </x:row>
    <x:row r="775" ht="68" customHeight="1">
      <x:c r="A775" s="14" t="str">
        <x:v>D-4C572CE0</x:v>
      </x:c>
      <x:c r="B775" s="14" t="str">
        <x:v>在线阅读</x:v>
      </x:c>
      <x:c r="C775" s="14" t="str">
        <x:v>动手学深度学习 · BERT</x:v>
      </x:c>
      <x:c r="D775" s="14" t="str">
        <x:v>中文</x:v>
      </x:c>
      <x:c r="E775" s="15" t="str">
        <x:v>未处理</x:v>
      </x:c>
      <x:c r="F775" s="15" t="str"/>
      <x:c r="G775" s="16" t="str">
        <x:v>https://zh-v2.d2l.ai/chapter_natural-language-processing-pretraining/bert.html</x:v>
      </x:c>
      <x:c r="H775" s="14" t="str">
        <x:v>J04；J06；J07；J08；J15</x:v>
      </x:c>
      <x:c r="I775" s="14" t="str">
        <x:v>张阿斯顿、李沐等</x:v>
      </x:c>
      <x:c r="J775" s="18" t="str"/>
      <x:c r="K775" s="14" t="str">
        <x:v>教材 / 说明书 / 网页</x:v>
      </x:c>
      <x:c r="L775" s="14" t="str">
        <x:v>选读</x:v>
      </x:c>
      <x:c r="M775" s="14" t="str">
        <x:v>以网页课程、在线章节或项目文档形式提供。</x:v>
      </x:c>
      <x:c r="N775" s="14" t="str">
        <x:v>打开官方入口，使用站点提供的下载功能；网页教程可继续在线使用。</x:v>
      </x:c>
      <x:c r="O775" s="14" t="str">
        <x:v>作者开放教材章节，含代码和练习。</x:v>
      </x:c>
      <x:c r="P775" s="14" t="str"/>
      <x:c r="Q775" s="14" t="str"/>
      <x:c r="R775" s="17"/>
      <x:c r="S775" s="14" t="str"/>
      <x:c r="T775" s="14" t="str"/>
      <x:c r="U775" s="19" t="n">
        <x:v>46303</x:v>
      </x:c>
    </x:row>
    <x:row r="776" ht="68" customHeight="1">
      <x:c r="A776" s="14" t="str">
        <x:v>D-C7AEDAD7</x:v>
      </x:c>
      <x:c r="B776" s="14" t="str">
        <x:v>在线阅读</x:v>
      </x:c>
      <x:c r="C776" s="14" t="str">
        <x:v>BERTopic 文档</x:v>
      </x:c>
      <x:c r="D776" s="14" t="str">
        <x:v>英文</x:v>
      </x:c>
      <x:c r="E776" s="15" t="str">
        <x:v>未处理</x:v>
      </x:c>
      <x:c r="F776" s="15" t="str"/>
      <x:c r="G776" s="16" t="str">
        <x:v>https://maartengr.github.io/BERTopic/</x:v>
      </x:c>
      <x:c r="H776" s="14" t="str">
        <x:v>J05</x:v>
      </x:c>
      <x:c r="I776" s="14" t="str">
        <x:v>方法/软件项目</x:v>
      </x:c>
      <x:c r="J776" s="18" t="str"/>
      <x:c r="K776" s="14" t="str">
        <x:v>教材 / 说明书 / 网页</x:v>
      </x:c>
      <x:c r="L776" s="14" t="str">
        <x:v>选读</x:v>
      </x:c>
      <x:c r="M776" s="14" t="str">
        <x:v>以网页课程、在线章节或项目文档形式提供。</x:v>
      </x:c>
      <x:c r="N776" s="14" t="str">
        <x:v>打开官方入口，使用站点提供的下载功能；网页教程可继续在线使用。</x:v>
      </x:c>
      <x:c r="O776" s="14" t="str">
        <x:v>本条目的方法说明、参数、示例或诊断入口。</x:v>
      </x:c>
      <x:c r="P776" s="14" t="str"/>
      <x:c r="Q776" s="14" t="str"/>
      <x:c r="R776" s="17"/>
      <x:c r="S776" s="14" t="str"/>
      <x:c r="T776" s="14" t="str"/>
      <x:c r="U776" s="19" t="n">
        <x:v>46303</x:v>
      </x:c>
    </x:row>
    <x:row r="777" ht="68" customHeight="1">
      <x:c r="A777" s="14" t="str">
        <x:v>D-BA75035F</x:v>
      </x:c>
      <x:c r="B777" s="14" t="str">
        <x:v>在线阅读</x:v>
      </x:c>
      <x:c r="C777" s="14" t="str">
        <x:v>stm 包官方站</x:v>
      </x:c>
      <x:c r="D777" s="14" t="str">
        <x:v>英文</x:v>
      </x:c>
      <x:c r="E777" s="15" t="str">
        <x:v>未处理</x:v>
      </x:c>
      <x:c r="F777" s="15" t="str"/>
      <x:c r="G777" s="16" t="str">
        <x:v>https://www.structuraltopicmodel.com/</x:v>
      </x:c>
      <x:c r="H777" s="14" t="str">
        <x:v>J05</x:v>
      </x:c>
      <x:c r="I777" s="14" t="str">
        <x:v>方法/软件项目</x:v>
      </x:c>
      <x:c r="J777" s="18" t="str"/>
      <x:c r="K777" s="14" t="str">
        <x:v>教材 / 说明书 / 网页</x:v>
      </x:c>
      <x:c r="L777" s="14" t="str">
        <x:v>选读</x:v>
      </x:c>
      <x:c r="M777" s="14" t="str">
        <x:v>以网页课程、在线章节或项目文档形式提供。</x:v>
      </x:c>
      <x:c r="N777" s="14" t="str">
        <x:v>打开官方入口，使用站点提供的下载功能；网页教程可继续在线使用。</x:v>
      </x:c>
      <x:c r="O777" s="14" t="str">
        <x:v>本条目的方法说明、参数、示例或诊断入口。</x:v>
      </x:c>
      <x:c r="P777" s="14" t="str"/>
      <x:c r="Q777" s="14" t="str"/>
      <x:c r="R777" s="17"/>
      <x:c r="S777" s="14" t="str"/>
      <x:c r="T777" s="14" t="str"/>
      <x:c r="U777" s="19" t="n">
        <x:v>46303</x:v>
      </x:c>
    </x:row>
    <x:row r="778" ht="68" customHeight="1">
      <x:c r="A778" s="14" t="str">
        <x:v>D-00402FB2</x:v>
      </x:c>
      <x:c r="B778" s="14" t="str">
        <x:v>在线阅读</x:v>
      </x:c>
      <x:c r="C778" s="14" t="str">
        <x:v>动手学深度学习 · 语言模型和数据集</x:v>
      </x:c>
      <x:c r="D778" s="14" t="str">
        <x:v>中文</x:v>
      </x:c>
      <x:c r="E778" s="15" t="str">
        <x:v>未处理</x:v>
      </x:c>
      <x:c r="F778" s="15" t="str"/>
      <x:c r="G778" s="16" t="str">
        <x:v>https://zh-v2.d2l.ai/chapter_recurrent-neural-networks/language-models-and-dataset.html</x:v>
      </x:c>
      <x:c r="H778" s="14" t="str">
        <x:v>J05；J06；J08</x:v>
      </x:c>
      <x:c r="I778" s="14" t="str">
        <x:v>张阿斯顿、李沐等</x:v>
      </x:c>
      <x:c r="J778" s="18" t="str"/>
      <x:c r="K778" s="14" t="str">
        <x:v>教材 / 说明书 / 网页</x:v>
      </x:c>
      <x:c r="L778" s="14" t="str">
        <x:v>选读</x:v>
      </x:c>
      <x:c r="M778" s="14" t="str">
        <x:v>以网页课程、在线章节或项目文档形式提供。</x:v>
      </x:c>
      <x:c r="N778" s="14" t="str">
        <x:v>打开官方入口，使用站点提供的下载功能；网页教程可继续在线使用。</x:v>
      </x:c>
      <x:c r="O778" s="14" t="str">
        <x:v>作者开放教材章节，含代码和练习。</x:v>
      </x:c>
      <x:c r="P778" s="14" t="str"/>
      <x:c r="Q778" s="14" t="str"/>
      <x:c r="R778" s="17"/>
      <x:c r="S778" s="14" t="str"/>
      <x:c r="T778" s="14" t="str"/>
      <x:c r="U778" s="19" t="n">
        <x:v>46303</x:v>
      </x:c>
    </x:row>
    <x:row r="779" ht="68" customHeight="1">
      <x:c r="A779" s="14" t="str">
        <x:v>D-7A20CE3E</x:v>
      </x:c>
      <x:c r="B779" s="14" t="str">
        <x:v>在线阅读</x:v>
      </x:c>
      <x:c r="C779" s="14" t="str">
        <x:v>Chinese-Word-Vectors（中文预训练向量）</x:v>
      </x:c>
      <x:c r="D779" s="14" t="str">
        <x:v>英文</x:v>
      </x:c>
      <x:c r="E779" s="15" t="str">
        <x:v>未处理</x:v>
      </x:c>
      <x:c r="F779" s="15" t="str"/>
      <x:c r="G779" s="16" t="str">
        <x:v>https://github.com/Embedding/Chinese-Word-Vectors</x:v>
      </x:c>
      <x:c r="H779" s="14" t="str">
        <x:v>J06</x:v>
      </x:c>
      <x:c r="I779" s="14" t="str">
        <x:v>方法/软件项目</x:v>
      </x:c>
      <x:c r="J779" s="18" t="str"/>
      <x:c r="K779" s="14" t="str">
        <x:v>教材 / 说明书 / 网页</x:v>
      </x:c>
      <x:c r="L779" s="14" t="str">
        <x:v>选读</x:v>
      </x:c>
      <x:c r="M779" s="14" t="str">
        <x:v>以网页课程、在线章节或项目文档形式提供。</x:v>
      </x:c>
      <x:c r="N779" s="14" t="str">
        <x:v>打开官方入口，使用站点提供的下载功能；网页教程可继续在线使用。</x:v>
      </x:c>
      <x:c r="O779" s="14" t="str">
        <x:v>本条目的方法说明、参数、示例或诊断入口。</x:v>
      </x:c>
      <x:c r="P779" s="14" t="str"/>
      <x:c r="Q779" s="14" t="str"/>
      <x:c r="R779" s="17"/>
      <x:c r="S779" s="14" t="str"/>
      <x:c r="T779" s="14" t="str"/>
      <x:c r="U779" s="19" t="n">
        <x:v>46303</x:v>
      </x:c>
    </x:row>
    <x:row r="780" ht="68" customHeight="1">
      <x:c r="A780" s="14" t="str">
        <x:v>D-9E8A97C6</x:v>
      </x:c>
      <x:c r="B780" s="14" t="str">
        <x:v>在线阅读</x:v>
      </x:c>
      <x:c r="C780" s="14" t="str">
        <x:v>WEFE（偏见测量工具包）</x:v>
      </x:c>
      <x:c r="D780" s="14" t="str">
        <x:v>英文</x:v>
      </x:c>
      <x:c r="E780" s="15" t="str">
        <x:v>未处理</x:v>
      </x:c>
      <x:c r="F780" s="15" t="str"/>
      <x:c r="G780" s="16" t="str">
        <x:v>https://wefe.readthedocs.io/</x:v>
      </x:c>
      <x:c r="H780" s="14" t="str">
        <x:v>J06</x:v>
      </x:c>
      <x:c r="I780" s="14" t="str">
        <x:v>方法/软件项目</x:v>
      </x:c>
      <x:c r="J780" s="18" t="str"/>
      <x:c r="K780" s="14" t="str">
        <x:v>教材 / 说明书 / 网页</x:v>
      </x:c>
      <x:c r="L780" s="14" t="str">
        <x:v>选读</x:v>
      </x:c>
      <x:c r="M780" s="14" t="str">
        <x:v>以网页课程、在线章节或项目文档形式提供。</x:v>
      </x:c>
      <x:c r="N780" s="14" t="str">
        <x:v>打开官方入口，使用站点提供的下载功能；网页教程可继续在线使用。</x:v>
      </x:c>
      <x:c r="O780" s="14" t="str">
        <x:v>本条目的方法说明、参数、示例或诊断入口。</x:v>
      </x:c>
      <x:c r="P780" s="14" t="str"/>
      <x:c r="Q780" s="14" t="str"/>
      <x:c r="R780" s="17"/>
      <x:c r="S780" s="14" t="str"/>
      <x:c r="T780" s="14" t="str"/>
      <x:c r="U780" s="19" t="n">
        <x:v>46303</x:v>
      </x:c>
    </x:row>
    <x:row r="781" ht="68" customHeight="1">
      <x:c r="A781" s="14" t="str">
        <x:v>D-223BB6CE</x:v>
      </x:c>
      <x:c r="B781" s="14" t="str">
        <x:v>在线阅读</x:v>
      </x:c>
      <x:c r="C781" s="14" t="str">
        <x:v>动手学深度学习 · Transformer</x:v>
      </x:c>
      <x:c r="D781" s="14" t="str">
        <x:v>中文</x:v>
      </x:c>
      <x:c r="E781" s="15" t="str">
        <x:v>未处理</x:v>
      </x:c>
      <x:c r="F781" s="15" t="str"/>
      <x:c r="G781" s="16" t="str">
        <x:v>https://zh-v2.d2l.ai/chapter_attention-mechanisms/transformer.html</x:v>
      </x:c>
      <x:c r="H781" s="14" t="str">
        <x:v>J06；J07；J08；J13；J15</x:v>
      </x:c>
      <x:c r="I781" s="14" t="str">
        <x:v>张阿斯顿、李沐等</x:v>
      </x:c>
      <x:c r="J781" s="18" t="str"/>
      <x:c r="K781" s="14" t="str">
        <x:v>教材 / 说明书 / 网页</x:v>
      </x:c>
      <x:c r="L781" s="14" t="str">
        <x:v>选读</x:v>
      </x:c>
      <x:c r="M781" s="14" t="str">
        <x:v>以网页课程、在线章节或项目文档形式提供。</x:v>
      </x:c>
      <x:c r="N781" s="14" t="str">
        <x:v>打开官方入口，使用站点提供的下载功能；网页教程可继续在线使用。</x:v>
      </x:c>
      <x:c r="O781" s="14" t="str">
        <x:v>作者开放教材章节，含代码和练习。</x:v>
      </x:c>
      <x:c r="P781" s="14" t="str"/>
      <x:c r="Q781" s="14" t="str"/>
      <x:c r="R781" s="17"/>
      <x:c r="S781" s="14" t="str"/>
      <x:c r="T781" s="14" t="str"/>
      <x:c r="U781" s="19" t="n">
        <x:v>46303</x:v>
      </x:c>
    </x:row>
    <x:row r="782" ht="68" customHeight="1">
      <x:c r="A782" s="14" t="str">
        <x:v>D-9B19BD74</x:v>
      </x:c>
      <x:c r="B782" s="14" t="str">
        <x:v>在线阅读</x:v>
      </x:c>
      <x:c r="C782" s="14" t="str">
        <x:v>动手学深度学习 · 自注意力和位置编码</x:v>
      </x:c>
      <x:c r="D782" s="14" t="str">
        <x:v>中文</x:v>
      </x:c>
      <x:c r="E782" s="15" t="str">
        <x:v>未处理</x:v>
      </x:c>
      <x:c r="F782" s="15" t="str"/>
      <x:c r="G782" s="16" t="str">
        <x:v>https://zh-v2.d2l.ai/chapter_attention-mechanisms/self-attention-and-positional-encoding.html</x:v>
      </x:c>
      <x:c r="H782" s="14" t="str">
        <x:v>J06；J07；J08；J13；J15</x:v>
      </x:c>
      <x:c r="I782" s="14" t="str">
        <x:v>张阿斯顿、李沐等</x:v>
      </x:c>
      <x:c r="J782" s="18" t="str"/>
      <x:c r="K782" s="14" t="str">
        <x:v>教材 / 说明书 / 网页</x:v>
      </x:c>
      <x:c r="L782" s="14" t="str">
        <x:v>选读</x:v>
      </x:c>
      <x:c r="M782" s="14" t="str">
        <x:v>以网页课程、在线章节或项目文档形式提供。</x:v>
      </x:c>
      <x:c r="N782" s="14" t="str">
        <x:v>打开官方入口，使用站点提供的下载功能；网页教程可继续在线使用。</x:v>
      </x:c>
      <x:c r="O782" s="14" t="str">
        <x:v>作者开放教材章节，含代码和练习。</x:v>
      </x:c>
      <x:c r="P782" s="14" t="str"/>
      <x:c r="Q782" s="14" t="str"/>
      <x:c r="R782" s="17"/>
      <x:c r="S782" s="14" t="str"/>
      <x:c r="T782" s="14" t="str"/>
      <x:c r="U782" s="19" t="n">
        <x:v>46303</x:v>
      </x:c>
    </x:row>
    <x:row r="783" ht="68" customHeight="1">
      <x:c r="A783" s="14" t="str">
        <x:v>D-526B1A0D</x:v>
      </x:c>
      <x:c r="B783" s="14" t="str">
        <x:v>在线阅读</x:v>
      </x:c>
      <x:c r="C783" s="14" t="str">
        <x:v>Hugging Face Transformers 文档</x:v>
      </x:c>
      <x:c r="D783" s="14" t="str">
        <x:v>英文</x:v>
      </x:c>
      <x:c r="E783" s="15" t="str">
        <x:v>未处理</x:v>
      </x:c>
      <x:c r="F783" s="15" t="str"/>
      <x:c r="G783" s="16" t="str">
        <x:v>https://huggingface.co/docs/transformers/</x:v>
      </x:c>
      <x:c r="H783" s="14" t="str">
        <x:v>J07</x:v>
      </x:c>
      <x:c r="I783" s="14" t="str">
        <x:v>方法/软件项目</x:v>
      </x:c>
      <x:c r="J783" s="18" t="str"/>
      <x:c r="K783" s="14" t="str">
        <x:v>教材 / 说明书 / 网页</x:v>
      </x:c>
      <x:c r="L783" s="14" t="str">
        <x:v>选读</x:v>
      </x:c>
      <x:c r="M783" s="14" t="str">
        <x:v>以网页课程、在线章节或项目文档形式提供。</x:v>
      </x:c>
      <x:c r="N783" s="14" t="str">
        <x:v>打开官方入口，使用站点提供的下载功能；网页教程可继续在线使用。</x:v>
      </x:c>
      <x:c r="O783" s="14" t="str">
        <x:v>本条目的方法说明、参数、示例或诊断入口。</x:v>
      </x:c>
      <x:c r="P783" s="14" t="str"/>
      <x:c r="Q783" s="14" t="str"/>
      <x:c r="R783" s="17"/>
      <x:c r="S783" s="14" t="str"/>
      <x:c r="T783" s="14" t="str"/>
      <x:c r="U783" s="19" t="n">
        <x:v>46303</x:v>
      </x:c>
    </x:row>
    <x:row r="784" ht="68" customHeight="1">
      <x:c r="A784" s="14" t="str">
        <x:v>D-1A0B608E</x:v>
      </x:c>
      <x:c r="B784" s="14" t="str">
        <x:v>在线阅读</x:v>
      </x:c>
      <x:c r="C784" s="14" t="str">
        <x:v>Bit by Bit · 伦理</x:v>
      </x:c>
      <x:c r="D784" s="14" t="str">
        <x:v>中文</x:v>
      </x:c>
      <x:c r="E784" s="15" t="str">
        <x:v>未处理</x:v>
      </x:c>
      <x:c r="F784" s="15" t="str"/>
      <x:c r="G784" s="16" t="str">
        <x:v>https://www.bitbybitbook.com/zh-CN/1st-ed/ethics/</x:v>
      </x:c>
      <x:c r="H784" s="14" t="str">
        <x:v>J07；J08；J12</x:v>
      </x:c>
      <x:c r="I784" s="14" t="str">
        <x:v>Matthew Salganik · 官方中文版本</x:v>
      </x:c>
      <x:c r="J784" s="18" t="str"/>
      <x:c r="K784" s="14" t="str">
        <x:v>教材 / 说明书 / 网页</x:v>
      </x:c>
      <x:c r="L784" s="14" t="str">
        <x:v>选读</x:v>
      </x:c>
      <x:c r="M784" s="14" t="str">
        <x:v>以网页课程、在线章节或项目文档形式提供。</x:v>
      </x:c>
      <x:c r="N784" s="14" t="str">
        <x:v>打开官方入口，使用站点提供的下载功能；网页教程可继续在线使用。</x:v>
      </x:c>
      <x:c r="O784" s="14" t="str">
        <x:v>中文版本帮助理解研究设计和数字时代的数据生成；不是估计器操作手册。</x:v>
      </x:c>
      <x:c r="P784" s="14" t="str"/>
      <x:c r="Q784" s="14" t="str"/>
      <x:c r="R784" s="17"/>
      <x:c r="S784" s="14" t="str"/>
      <x:c r="T784" s="14" t="str"/>
      <x:c r="U784" s="19" t="n">
        <x:v>46303</x:v>
      </x:c>
    </x:row>
    <x:row r="785" ht="68" customHeight="1">
      <x:c r="A785" s="14" t="str">
        <x:v>D-97D10DB7</x:v>
      </x:c>
      <x:c r="B785" s="14" t="str">
        <x:v>在线阅读</x:v>
      </x:c>
      <x:c r="C785" s="14" t="str">
        <x:v>动手学深度学习 · 微调BERT</x:v>
      </x:c>
      <x:c r="D785" s="14" t="str">
        <x:v>中文</x:v>
      </x:c>
      <x:c r="E785" s="15" t="str">
        <x:v>未处理</x:v>
      </x:c>
      <x:c r="F785" s="15" t="str"/>
      <x:c r="G785" s="16" t="str">
        <x:v>https://zh-v2.d2l.ai/chapter_natural-language-processing-applications/finetuning-bert.html</x:v>
      </x:c>
      <x:c r="H785" s="14" t="str">
        <x:v>J07；J08；J13</x:v>
      </x:c>
      <x:c r="I785" s="14" t="str">
        <x:v>张阿斯顿、李沐等</x:v>
      </x:c>
      <x:c r="J785" s="18" t="str"/>
      <x:c r="K785" s="14" t="str">
        <x:v>教材 / 说明书 / 网页</x:v>
      </x:c>
      <x:c r="L785" s="14" t="str">
        <x:v>选读</x:v>
      </x:c>
      <x:c r="M785" s="14" t="str">
        <x:v>以网页课程、在线章节或项目文档形式提供。</x:v>
      </x:c>
      <x:c r="N785" s="14" t="str">
        <x:v>打开官方入口，使用站点提供的下载功能；网页教程可继续在线使用。</x:v>
      </x:c>
      <x:c r="O785" s="14" t="str">
        <x:v>作者开放教材章节，含代码和练习。</x:v>
      </x:c>
      <x:c r="P785" s="14" t="str"/>
      <x:c r="Q785" s="14" t="str"/>
      <x:c r="R785" s="17"/>
      <x:c r="S785" s="14" t="str"/>
      <x:c r="T785" s="14" t="str"/>
      <x:c r="U785" s="19" t="n">
        <x:v>46303</x:v>
      </x:c>
    </x:row>
    <x:row r="786" ht="68" customHeight="1">
      <x:c r="A786" s="14" t="str">
        <x:v>D-CED54155</x:v>
      </x:c>
      <x:c r="B786" s="14" t="str">
        <x:v>在线阅读</x:v>
      </x:c>
      <x:c r="C786" s="14" t="str">
        <x:v>动手学深度学习 · 微调</x:v>
      </x:c>
      <x:c r="D786" s="14" t="str">
        <x:v>中文</x:v>
      </x:c>
      <x:c r="E786" s="15" t="str">
        <x:v>未处理</x:v>
      </x:c>
      <x:c r="F786" s="15" t="str"/>
      <x:c r="G786" s="16" t="str">
        <x:v>https://zh-v2.d2l.ai/chapter_computer-vision/fine-tuning.html</x:v>
      </x:c>
      <x:c r="H786" s="14" t="str">
        <x:v>J07；J13</x:v>
      </x:c>
      <x:c r="I786" s="14" t="str">
        <x:v>张阿斯顿、李沐等</x:v>
      </x:c>
      <x:c r="J786" s="18" t="str"/>
      <x:c r="K786" s="14" t="str">
        <x:v>教材 / 说明书 / 网页</x:v>
      </x:c>
      <x:c r="L786" s="14" t="str">
        <x:v>选读</x:v>
      </x:c>
      <x:c r="M786" s="14" t="str">
        <x:v>以网页课程、在线章节或项目文档形式提供。</x:v>
      </x:c>
      <x:c r="N786" s="14" t="str">
        <x:v>打开官方入口，使用站点提供的下载功能；网页教程可继续在线使用。</x:v>
      </x:c>
      <x:c r="O786" s="14" t="str">
        <x:v>作者开放教材章节，含代码和练习。</x:v>
      </x:c>
      <x:c r="P786" s="14" t="str"/>
      <x:c r="Q786" s="14" t="str"/>
      <x:c r="R786" s="17"/>
      <x:c r="S786" s="14" t="str"/>
      <x:c r="T786" s="14" t="str"/>
      <x:c r="U786" s="19" t="n">
        <x:v>46303</x:v>
      </x:c>
    </x:row>
    <x:row r="787" ht="68" customHeight="1">
      <x:c r="A787" s="14" t="str">
        <x:v>D-D6F4EDDF</x:v>
      </x:c>
      <x:c r="B787" s="14" t="str">
        <x:v>在线阅读</x:v>
      </x:c>
      <x:c r="C787" s="14" t="str">
        <x:v>Anthropic API 文档</x:v>
      </x:c>
      <x:c r="D787" s="14" t="str">
        <x:v>英文</x:v>
      </x:c>
      <x:c r="E787" s="15" t="str">
        <x:v>未处理</x:v>
      </x:c>
      <x:c r="F787" s="15" t="str"/>
      <x:c r="G787" s="16" t="str">
        <x:v>https://docs.claude.com/</x:v>
      </x:c>
      <x:c r="H787" s="14" t="str">
        <x:v>J08</x:v>
      </x:c>
      <x:c r="I787" s="14" t="str">
        <x:v>方法/软件项目</x:v>
      </x:c>
      <x:c r="J787" s="18" t="str"/>
      <x:c r="K787" s="14" t="str">
        <x:v>教材 / 说明书 / 网页</x:v>
      </x:c>
      <x:c r="L787" s="14" t="str">
        <x:v>选读</x:v>
      </x:c>
      <x:c r="M787" s="14" t="str">
        <x:v>以网页课程、在线章节或项目文档形式提供。</x:v>
      </x:c>
      <x:c r="N787" s="14" t="str">
        <x:v>打开官方入口，使用站点提供的下载功能；网页教程可继续在线使用。</x:v>
      </x:c>
      <x:c r="O787" s="14" t="str">
        <x:v>本条目的方法说明、参数、示例或诊断入口。</x:v>
      </x:c>
      <x:c r="P787" s="14" t="str"/>
      <x:c r="Q787" s="14" t="str"/>
      <x:c r="R787" s="17"/>
      <x:c r="S787" s="14" t="str"/>
      <x:c r="T787" s="14" t="str"/>
      <x:c r="U787" s="19" t="n">
        <x:v>46303</x:v>
      </x:c>
    </x:row>
    <x:row r="788" ht="68" customHeight="1">
      <x:c r="A788" s="14" t="str">
        <x:v>D-71781B9C</x:v>
      </x:c>
      <x:c r="B788" s="14" t="str">
        <x:v>在线阅读</x:v>
      </x:c>
      <x:c r="C788" s="14" t="str">
        <x:v>Large language models can predict the results of social science experiments</x:v>
      </x:c>
      <x:c r="D788" s="14" t="str">
        <x:v>英文</x:v>
      </x:c>
      <x:c r="E788" s="15" t="str">
        <x:v>未处理</x:v>
      </x:c>
      <x:c r="F788" s="15" t="str"/>
      <x:c r="G788" s="16" t="str">
        <x:v>https://www.nature.com/articles/s41586-026-10742-x</x:v>
      </x:c>
      <x:c r="H788" s="14" t="str">
        <x:v>J08</x:v>
      </x:c>
      <x:c r="I788" s="14" t="str">
        <x:v>Ashokkumar; Hewitt; Ghezae; Willer</x:v>
      </x:c>
      <x:c r="J788" s="18" t="n">
        <x:v>2026</x:v>
      </x:c>
      <x:c r="K788" s="14" t="str">
        <x:v>文献</x:v>
      </x:c>
      <x:c r="L788" s="14" t="str">
        <x:v>选读</x:v>
      </x:c>
      <x:c r="M788" s="14" t="str">
        <x:v>以网页课程、在线章节或项目文档形式提供。</x:v>
      </x:c>
      <x:c r="N788" s="14" t="str">
        <x:v>打开官方入口，使用站点提供的下载功能；网页教程可继续在线使用。</x:v>
      </x:c>
      <x:c r="O788" s="14" t="str">
        <x:v>2026 年实验效应预测研究；相关性高仍伴有效应量高估。</x:v>
      </x:c>
      <x:c r="P788" s="14" t="str"/>
      <x:c r="Q788" s="14" t="str"/>
      <x:c r="R788" s="17"/>
      <x:c r="S788" s="14" t="str"/>
      <x:c r="T788" s="14" t="str"/>
      <x:c r="U788" s="19" t="n">
        <x:v>46303</x:v>
      </x:c>
    </x:row>
    <x:row r="789" ht="68" customHeight="1">
      <x:c r="A789" s="14" t="str">
        <x:v>D-0563BF99</x:v>
      </x:c>
      <x:c r="B789" s="14" t="str">
        <x:v>在线阅读</x:v>
      </x:c>
      <x:c r="C789" s="14" t="str">
        <x:v>Large language models that replace human participants can harmfully misportray and flatten identity groups</x:v>
      </x:c>
      <x:c r="D789" s="14" t="str">
        <x:v>英文</x:v>
      </x:c>
      <x:c r="E789" s="15" t="str">
        <x:v>未处理</x:v>
      </x:c>
      <x:c r="F789" s="15" t="str"/>
      <x:c r="G789" s="16" t="str">
        <x:v>https://www.nature.com/articles/s42256-025-00986-z</x:v>
      </x:c>
      <x:c r="H789" s="14" t="str">
        <x:v>J08</x:v>
      </x:c>
      <x:c r="I789" s="14" t="str">
        <x:v>Wang; Morgenstern; Dickerson</x:v>
      </x:c>
      <x:c r="J789" s="18" t="n">
        <x:v>2025</x:v>
      </x:c>
      <x:c r="K789" s="14" t="str">
        <x:v>文献</x:v>
      </x:c>
      <x:c r="L789" s="14" t="str">
        <x:v>选读</x:v>
      </x:c>
      <x:c r="M789" s="14" t="str">
        <x:v>以网页课程、在线章节或项目文档形式提供。</x:v>
      </x:c>
      <x:c r="N789" s="14" t="str">
        <x:v>打开官方入口，使用站点提供的下载功能；网页教程可继续在线使用。</x:v>
      </x:c>
      <x:c r="O789" s="14" t="str">
        <x:v>合成被试的群体差异与代表性边界。</x:v>
      </x:c>
      <x:c r="P789" s="14" t="str"/>
      <x:c r="Q789" s="14" t="str"/>
      <x:c r="R789" s="17"/>
      <x:c r="S789" s="14" t="str"/>
      <x:c r="T789" s="14" t="str"/>
      <x:c r="U789" s="19" t="n">
        <x:v>46303</x:v>
      </x:c>
    </x:row>
    <x:row r="790" ht="68" customHeight="1">
      <x:c r="A790" s="14" t="str">
        <x:v>D-5225CEA6</x:v>
      </x:c>
      <x:c r="B790" s="14" t="str">
        <x:v>在线阅读</x:v>
      </x:c>
      <x:c r="C790" s="14" t="str">
        <x:v>igraph 官方文档</x:v>
      </x:c>
      <x:c r="D790" s="14" t="str">
        <x:v>英文</x:v>
      </x:c>
      <x:c r="E790" s="15" t="str">
        <x:v>未处理</x:v>
      </x:c>
      <x:c r="F790" s="15" t="str"/>
      <x:c r="G790" s="16" t="str">
        <x:v>https://r.igraph.org/</x:v>
      </x:c>
      <x:c r="H790" s="14" t="str">
        <x:v>J09</x:v>
      </x:c>
      <x:c r="I790" s="14" t="str">
        <x:v>方法/软件项目</x:v>
      </x:c>
      <x:c r="J790" s="18" t="str"/>
      <x:c r="K790" s="14" t="str">
        <x:v>教材 / 说明书 / 网页</x:v>
      </x:c>
      <x:c r="L790" s="14" t="str">
        <x:v>选读</x:v>
      </x:c>
      <x:c r="M790" s="14" t="str">
        <x:v>以网页课程、在线章节或项目文档形式提供。</x:v>
      </x:c>
      <x:c r="N790" s="14" t="str">
        <x:v>打开官方入口，使用站点提供的下载功能；网页教程可继续在线使用。</x:v>
      </x:c>
      <x:c r="O790" s="14" t="str">
        <x:v>本条目的方法说明、参数、示例或诊断入口。</x:v>
      </x:c>
      <x:c r="P790" s="14" t="str"/>
      <x:c r="Q790" s="14" t="str"/>
      <x:c r="R790" s="17"/>
      <x:c r="S790" s="14" t="str"/>
      <x:c r="T790" s="14" t="str"/>
      <x:c r="U790" s="19" t="n">
        <x:v>46303</x:v>
      </x:c>
    </x:row>
    <x:row r="791" ht="68" customHeight="1">
      <x:c r="A791" s="14" t="str">
        <x:v>D-7B93C8F0</x:v>
      </x:c>
      <x:c r="B791" s="14" t="str">
        <x:v>在线阅读</x:v>
      </x:c>
      <x:c r="C791" s="14" t="str">
        <x:v>Network Analysis in R（免费教程）</x:v>
      </x:c>
      <x:c r="D791" s="14" t="str">
        <x:v>英文</x:v>
      </x:c>
      <x:c r="E791" s="15" t="str">
        <x:v>未处理</x:v>
      </x:c>
      <x:c r="F791" s="15" t="str"/>
      <x:c r="G791" s="16" t="str">
        <x:v>https://kateto.net/network-visualization</x:v>
      </x:c>
      <x:c r="H791" s="14" t="str">
        <x:v>J09</x:v>
      </x:c>
      <x:c r="I791" s="14" t="str">
        <x:v>方法/软件项目</x:v>
      </x:c>
      <x:c r="J791" s="18" t="str"/>
      <x:c r="K791" s="14" t="str">
        <x:v>教材 / 说明书 / 网页</x:v>
      </x:c>
      <x:c r="L791" s="14" t="str">
        <x:v>选读</x:v>
      </x:c>
      <x:c r="M791" s="14" t="str">
        <x:v>以网页课程、在线章节或项目文档形式提供。</x:v>
      </x:c>
      <x:c r="N791" s="14" t="str">
        <x:v>打开官方入口，使用站点提供的下载功能；网页教程可继续在线使用。</x:v>
      </x:c>
      <x:c r="O791" s="14" t="str">
        <x:v>本条目的方法说明、参数、示例或诊断入口。</x:v>
      </x:c>
      <x:c r="P791" s="14" t="str"/>
      <x:c r="Q791" s="14" t="str"/>
      <x:c r="R791" s="17"/>
      <x:c r="S791" s="14" t="str"/>
      <x:c r="T791" s="14" t="str"/>
      <x:c r="U791" s="19" t="n">
        <x:v>46303</x:v>
      </x:c>
    </x:row>
    <x:row r="792" ht="68" customHeight="1">
      <x:c r="A792" s="14" t="str">
        <x:v>D-46C4E9DF</x:v>
      </x:c>
      <x:c r="B792" s="14" t="str">
        <x:v>在线阅读</x:v>
      </x:c>
      <x:c r="C792" s="14" t="str">
        <x:v>Bit by Bit · 第 2 章：观察行为（中文版本）</x:v>
      </x:c>
      <x:c r="D792" s="14" t="str">
        <x:v>英文</x:v>
      </x:c>
      <x:c r="E792" s="15" t="str">
        <x:v>未处理</x:v>
      </x:c>
      <x:c r="F792" s="15" t="str"/>
      <x:c r="G792" s="16" t="str">
        <x:v>https://www.bitbybitbook.com/zh-CN/1st-ed/observing-behavior/</x:v>
      </x:c>
      <x:c r="H792" s="14" t="str">
        <x:v>J09；J10；J11；J12；J14；J16；N10；O01；O03；O06</x:v>
      </x:c>
      <x:c r="I792" s="14" t="str">
        <x:v>Matthew J. Salganik</x:v>
      </x:c>
      <x:c r="J792" s="18" t="str"/>
      <x:c r="K792" s="14" t="str">
        <x:v>教学</x:v>
      </x:c>
      <x:c r="L792" s="14" t="str">
        <x:v>选读</x:v>
      </x:c>
      <x:c r="M792" s="14" t="str">
        <x:v>以网页课程、在线章节或项目文档形式提供。</x:v>
      </x:c>
      <x:c r="N792" s="14" t="str">
        <x:v>打开官方入口，使用站点提供的下载功能；网页教程可继续在线使用。</x:v>
      </x:c>
      <x:c r="O792" s="14" t="str">
        <x:v>比较数字记录与传统为研究而收集的数据；翻译词语请与英文版核对。</x:v>
      </x:c>
      <x:c r="P792" s="14" t="str"/>
      <x:c r="Q792" s="14" t="str"/>
      <x:c r="R792" s="17"/>
      <x:c r="S792" s="14" t="str"/>
      <x:c r="T792" s="14" t="str"/>
      <x:c r="U792" s="19" t="n">
        <x:v>46303</x:v>
      </x:c>
    </x:row>
    <x:row r="793" ht="68" customHeight="1">
      <x:c r="A793" s="14" t="str">
        <x:v>D-2EBDE4F2</x:v>
      </x:c>
      <x:c r="B793" s="14" t="str">
        <x:v>在线阅读</x:v>
      </x:c>
      <x:c r="C793" s="14" t="str">
        <x:v>RSiena 官方站（手册与脚本）</x:v>
      </x:c>
      <x:c r="D793" s="14" t="str">
        <x:v>英文</x:v>
      </x:c>
      <x:c r="E793" s="15" t="str">
        <x:v>未处理</x:v>
      </x:c>
      <x:c r="F793" s="15" t="str"/>
      <x:c r="G793" s="16" t="str">
        <x:v>https://www.stats.ox.ac.uk/~snijders/siena/</x:v>
      </x:c>
      <x:c r="H793" s="14" t="str">
        <x:v>J10</x:v>
      </x:c>
      <x:c r="I793" s="14" t="str">
        <x:v>方法/软件项目</x:v>
      </x:c>
      <x:c r="J793" s="18" t="str"/>
      <x:c r="K793" s="14" t="str">
        <x:v>教材 / 说明书 / 网页</x:v>
      </x:c>
      <x:c r="L793" s="14" t="str">
        <x:v>选读</x:v>
      </x:c>
      <x:c r="M793" s="14" t="str">
        <x:v>以网页课程、在线章节或项目文档形式提供。</x:v>
      </x:c>
      <x:c r="N793" s="14" t="str">
        <x:v>打开官方入口，使用站点提供的下载功能；网页教程可继续在线使用。</x:v>
      </x:c>
      <x:c r="O793" s="14" t="str">
        <x:v>本条目的方法说明、参数、示例或诊断入口。</x:v>
      </x:c>
      <x:c r="P793" s="14" t="str"/>
      <x:c r="Q793" s="14" t="str"/>
      <x:c r="R793" s="17"/>
      <x:c r="S793" s="14" t="str"/>
      <x:c r="T793" s="14" t="str"/>
      <x:c r="U793" s="19" t="n">
        <x:v>46303</x:v>
      </x:c>
    </x:row>
    <x:row r="794" ht="68" customHeight="1">
      <x:c r="A794" s="14" t="str">
        <x:v>D-DCD69D28</x:v>
      </x:c>
      <x:c r="B794" s="14" t="str">
        <x:v>在线阅读</x:v>
      </x:c>
      <x:c r="C794" s="14" t="str">
        <x:v>statnet 项目（ergm 系列）</x:v>
      </x:c>
      <x:c r="D794" s="14" t="str">
        <x:v>英文</x:v>
      </x:c>
      <x:c r="E794" s="15" t="str">
        <x:v>未处理</x:v>
      </x:c>
      <x:c r="F794" s="15" t="str"/>
      <x:c r="G794" s="16" t="str">
        <x:v>https://statnet.org/</x:v>
      </x:c>
      <x:c r="H794" s="14" t="str">
        <x:v>J10</x:v>
      </x:c>
      <x:c r="I794" s="14" t="str">
        <x:v>方法/软件项目</x:v>
      </x:c>
      <x:c r="J794" s="18" t="str"/>
      <x:c r="K794" s="14" t="str">
        <x:v>教材 / 说明书 / 网页</x:v>
      </x:c>
      <x:c r="L794" s="14" t="str">
        <x:v>选读</x:v>
      </x:c>
      <x:c r="M794" s="14" t="str">
        <x:v>以网页课程、在线章节或项目文档形式提供。</x:v>
      </x:c>
      <x:c r="N794" s="14" t="str">
        <x:v>打开官方入口，使用站点提供的下载功能；网页教程可继续在线使用。</x:v>
      </x:c>
      <x:c r="O794" s="14" t="str">
        <x:v>本条目的方法说明、参数、示例或诊断入口。</x:v>
      </x:c>
      <x:c r="P794" s="14" t="str"/>
      <x:c r="Q794" s="14" t="str"/>
      <x:c r="R794" s="17"/>
      <x:c r="S794" s="14" t="str"/>
      <x:c r="T794" s="14" t="str"/>
      <x:c r="U794" s="19" t="n">
        <x:v>46303</x:v>
      </x:c>
    </x:row>
    <x:row r="795" ht="68" customHeight="1">
      <x:c r="A795" s="14" t="str">
        <x:v>D-6B4F12D4</x:v>
      </x:c>
      <x:c r="B795" s="14" t="str">
        <x:v>在线阅读</x:v>
      </x:c>
      <x:c r="C795" s="14" t="str">
        <x:v>Mesa（Python ABM 框架）</x:v>
      </x:c>
      <x:c r="D795" s="14" t="str">
        <x:v>英文</x:v>
      </x:c>
      <x:c r="E795" s="15" t="str">
        <x:v>未处理</x:v>
      </x:c>
      <x:c r="F795" s="15" t="str"/>
      <x:c r="G795" s="16" t="str">
        <x:v>https://mesa.readthedocs.io/</x:v>
      </x:c>
      <x:c r="H795" s="14" t="str">
        <x:v>J11</x:v>
      </x:c>
      <x:c r="I795" s="14" t="str">
        <x:v>方法/软件项目</x:v>
      </x:c>
      <x:c r="J795" s="18" t="str"/>
      <x:c r="K795" s="14" t="str">
        <x:v>教材 / 说明书 / 网页</x:v>
      </x:c>
      <x:c r="L795" s="14" t="str">
        <x:v>选读</x:v>
      </x:c>
      <x:c r="M795" s="14" t="str">
        <x:v>以网页课程、在线章节或项目文档形式提供。</x:v>
      </x:c>
      <x:c r="N795" s="14" t="str">
        <x:v>打开官方入口，使用站点提供的下载功能；网页教程可继续在线使用。</x:v>
      </x:c>
      <x:c r="O795" s="14" t="str">
        <x:v>本条目的方法说明、参数、示例或诊断入口。</x:v>
      </x:c>
      <x:c r="P795" s="14" t="str"/>
      <x:c r="Q795" s="14" t="str"/>
      <x:c r="R795" s="17"/>
      <x:c r="S795" s="14" t="str"/>
      <x:c r="T795" s="14" t="str"/>
      <x:c r="U795" s="19" t="n">
        <x:v>46303</x:v>
      </x:c>
    </x:row>
    <x:row r="796" ht="68" customHeight="1">
      <x:c r="A796" s="14" t="str">
        <x:v>D-4FE0447D</x:v>
      </x:c>
      <x:c r="B796" s="14" t="str">
        <x:v>在线阅读</x:v>
      </x:c>
      <x:c r="C796" s="14" t="str">
        <x:v>NetLogo（入门最友好，教学资源丰富）</x:v>
      </x:c>
      <x:c r="D796" s="14" t="str">
        <x:v>英文</x:v>
      </x:c>
      <x:c r="E796" s="15" t="str">
        <x:v>未处理</x:v>
      </x:c>
      <x:c r="F796" s="15" t="str"/>
      <x:c r="G796" s="16" t="str">
        <x:v>https://ccl.northwestern.edu/netlogo/</x:v>
      </x:c>
      <x:c r="H796" s="14" t="str">
        <x:v>J11</x:v>
      </x:c>
      <x:c r="I796" s="14" t="str">
        <x:v>方法/软件项目</x:v>
      </x:c>
      <x:c r="J796" s="18" t="str"/>
      <x:c r="K796" s="14" t="str">
        <x:v>教材 / 说明书 / 网页</x:v>
      </x:c>
      <x:c r="L796" s="14" t="str">
        <x:v>选读</x:v>
      </x:c>
      <x:c r="M796" s="14" t="str">
        <x:v>以网页课程、在线章节或项目文档形式提供。</x:v>
      </x:c>
      <x:c r="N796" s="14" t="str">
        <x:v>打开官方入口，使用站点提供的下载功能；网页教程可继续在线使用。</x:v>
      </x:c>
      <x:c r="O796" s="14" t="str">
        <x:v>本条目的方法说明、参数、示例或诊断入口。</x:v>
      </x:c>
      <x:c r="P796" s="14" t="str"/>
      <x:c r="Q796" s="14" t="str"/>
      <x:c r="R796" s="17"/>
      <x:c r="S796" s="14" t="str"/>
      <x:c r="T796" s="14" t="str"/>
      <x:c r="U796" s="19" t="n">
        <x:v>46303</x:v>
      </x:c>
    </x:row>
    <x:row r="797" ht="68" customHeight="1">
      <x:c r="A797" s="14" t="str">
        <x:v>D-7056626D</x:v>
      </x:c>
      <x:c r="B797" s="14" t="str">
        <x:v>在线阅读</x:v>
      </x:c>
      <x:c r="C797" s="14" t="str">
        <x:v>AWARE Framework（开源移动数据采集）</x:v>
      </x:c>
      <x:c r="D797" s="14" t="str">
        <x:v>英文</x:v>
      </x:c>
      <x:c r="E797" s="15" t="str">
        <x:v>未处理</x:v>
      </x:c>
      <x:c r="F797" s="15" t="str"/>
      <x:c r="G797" s="16" t="str">
        <x:v>https://awareframework.com/</x:v>
      </x:c>
      <x:c r="H797" s="14" t="str">
        <x:v>J12</x:v>
      </x:c>
      <x:c r="I797" s="14" t="str">
        <x:v>方法/软件项目</x:v>
      </x:c>
      <x:c r="J797" s="18" t="str"/>
      <x:c r="K797" s="14" t="str">
        <x:v>教材 / 说明书 / 网页</x:v>
      </x:c>
      <x:c r="L797" s="14" t="str">
        <x:v>选读</x:v>
      </x:c>
      <x:c r="M797" s="14" t="str">
        <x:v>以网页课程、在线章节或项目文档形式提供。</x:v>
      </x:c>
      <x:c r="N797" s="14" t="str">
        <x:v>打开官方入口，使用站点提供的下载功能；网页教程可继续在线使用。</x:v>
      </x:c>
      <x:c r="O797" s="14" t="str">
        <x:v>本条目的方法说明、参数、示例或诊断入口。</x:v>
      </x:c>
      <x:c r="P797" s="14" t="str"/>
      <x:c r="Q797" s="14" t="str"/>
      <x:c r="R797" s="17"/>
      <x:c r="S797" s="14" t="str"/>
      <x:c r="T797" s="14" t="str"/>
      <x:c r="U797" s="19" t="n">
        <x:v>46303</x:v>
      </x:c>
    </x:row>
    <x:row r="798" ht="68" customHeight="1">
      <x:c r="A798" s="14" t="str">
        <x:v>D-2A5CC72C</x:v>
      </x:c>
      <x:c r="B798" s="14" t="str">
        <x:v>在线阅读</x:v>
      </x:c>
      <x:c r="C798" s="14" t="str">
        <x:v>Beiwe Service Center（哈佛官方）</x:v>
      </x:c>
      <x:c r="D798" s="14" t="str">
        <x:v>英文</x:v>
      </x:c>
      <x:c r="E798" s="15" t="str">
        <x:v>未处理</x:v>
      </x:c>
      <x:c r="F798" s="15" t="str"/>
      <x:c r="G798" s="16" t="str">
        <x:v>https://hsph.harvard.edu/research-resource/beiwe/about/</x:v>
      </x:c>
      <x:c r="H798" s="14" t="str">
        <x:v>J12</x:v>
      </x:c>
      <x:c r="I798" s="14" t="str">
        <x:v>方法/软件项目</x:v>
      </x:c>
      <x:c r="J798" s="18" t="str"/>
      <x:c r="K798" s="14" t="str">
        <x:v>教材 / 说明书 / 网页</x:v>
      </x:c>
      <x:c r="L798" s="14" t="str">
        <x:v>选读</x:v>
      </x:c>
      <x:c r="M798" s="14" t="str">
        <x:v>以网页课程、在线章节或项目文档形式提供。</x:v>
      </x:c>
      <x:c r="N798" s="14" t="str">
        <x:v>打开官方入口，使用站点提供的下载功能；网页教程可继续在线使用。</x:v>
      </x:c>
      <x:c r="O798" s="14" t="str">
        <x:v>本条目的方法说明、参数、示例或诊断入口。</x:v>
      </x:c>
      <x:c r="P798" s="14" t="str"/>
      <x:c r="Q798" s="14" t="str"/>
      <x:c r="R798" s="17"/>
      <x:c r="S798" s="14" t="str"/>
      <x:c r="T798" s="14" t="str"/>
      <x:c r="U798" s="19" t="n">
        <x:v>46303</x:v>
      </x:c>
    </x:row>
    <x:row r="799" ht="68" customHeight="1">
      <x:c r="A799" s="14" t="str">
        <x:v>D-FB7F9657</x:v>
      </x:c>
      <x:c r="B799" s="14" t="str">
        <x:v>在线阅读</x:v>
      </x:c>
      <x:c r="C799" s="14" t="str">
        <x:v>Text Mining with R · Sentiment analysis</x:v>
      </x:c>
      <x:c r="D799" s="14" t="str">
        <x:v>英文</x:v>
      </x:c>
      <x:c r="E799" s="15" t="str">
        <x:v>未处理</x:v>
      </x:c>
      <x:c r="F799" s="15" t="str"/>
      <x:c r="G799" s="16" t="str">
        <x:v>https://www.tidytextmining.com/sentiment</x:v>
      </x:c>
      <x:c r="H799" s="14" t="str">
        <x:v>J13；J15</x:v>
      </x:c>
      <x:c r="I799" s="14" t="str">
        <x:v>Julia Silge; David Robinson</x:v>
      </x:c>
      <x:c r="J799" s="18" t="str"/>
      <x:c r="K799" s="14" t="str">
        <x:v>教学</x:v>
      </x:c>
      <x:c r="L799" s="14" t="str">
        <x:v>选读</x:v>
      </x:c>
      <x:c r="M799" s="14" t="str">
        <x:v>以网页课程、在线章节或项目文档形式提供。</x:v>
      </x:c>
      <x:c r="N799" s="14" t="str">
        <x:v>打开官方入口，使用站点提供的下载功能；网页教程可继续在线使用。</x:v>
      </x:c>
      <x:c r="O799" s="14" t="str">
        <x:v>从词典情感分析入门，再问构念与语境是否匹配。</x:v>
      </x:c>
      <x:c r="P799" s="14" t="str"/>
      <x:c r="Q799" s="14" t="str"/>
      <x:c r="R799" s="17"/>
      <x:c r="S799" s="14" t="str"/>
      <x:c r="T799" s="14" t="str"/>
      <x:c r="U799" s="19" t="n">
        <x:v>46303</x:v>
      </x:c>
    </x:row>
    <x:row r="800" ht="68" customHeight="1">
      <x:c r="A800" s="14" t="str">
        <x:v>D-54756F6C</x:v>
      </x:c>
      <x:c r="B800" s="14" t="str">
        <x:v>在线阅读</x:v>
      </x:c>
      <x:c r="C800" s="14" t="str">
        <x:v>igraph · Community detection via modularity</x:v>
      </x:c>
      <x:c r="D800" s="14" t="str">
        <x:v>英文</x:v>
      </x:c>
      <x:c r="E800" s="15" t="str">
        <x:v>未处理</x:v>
      </x:c>
      <x:c r="F800" s="15" t="str"/>
      <x:c r="G800" s="16" t="str">
        <x:v>https://r.igraph.org/reference/cluster_louvain.html</x:v>
      </x:c>
      <x:c r="H800" s="14" t="str">
        <x:v>J14</x:v>
      </x:c>
      <x:c r="I800" s="14" t="str">
        <x:v>igraph 开发者</x:v>
      </x:c>
      <x:c r="J800" s="18" t="str"/>
      <x:c r="K800" s="14" t="str">
        <x:v>教学</x:v>
      </x:c>
      <x:c r="L800" s="14" t="str">
        <x:v>选读</x:v>
      </x:c>
      <x:c r="M800" s="14" t="str">
        <x:v>以网页课程、在线章节或项目文档形式提供。</x:v>
      </x:c>
      <x:c r="N800" s="14" t="str">
        <x:v>打开官方入口，使用站点提供的下载功能；网页教程可继续在线使用。</x:v>
      </x:c>
      <x:c r="O800" s="14" t="str">
        <x:v>模块度与社区发现的官方例子；需要另行设计跨网络基准。</x:v>
      </x:c>
      <x:c r="P800" s="14" t="str"/>
      <x:c r="Q800" s="14" t="str"/>
      <x:c r="R800" s="17"/>
      <x:c r="S800" s="14" t="str"/>
      <x:c r="T800" s="14" t="str"/>
      <x:c r="U800" s="19" t="n">
        <x:v>46303</x:v>
      </x:c>
    </x:row>
    <x:row r="801" ht="68" customHeight="1">
      <x:c r="A801" s="14" t="str">
        <x:v>D-EB40E1AC</x:v>
      </x:c>
      <x:c r="B801" s="14" t="str">
        <x:v>在线阅读</x:v>
      </x:c>
      <x:c r="C801" s="14" t="str">
        <x:v>Networks, Crowds, and Markets · 作者开放教材</x:v>
      </x:c>
      <x:c r="D801" s="14" t="str">
        <x:v>英文</x:v>
      </x:c>
      <x:c r="E801" s="15" t="str">
        <x:v>未处理</x:v>
      </x:c>
      <x:c r="F801" s="15" t="str"/>
      <x:c r="G801" s="16" t="str">
        <x:v>https://www.cs.cornell.edu/home/kleinber/networks-book/</x:v>
      </x:c>
      <x:c r="H801" s="14" t="str">
        <x:v>J14；J16；N10</x:v>
      </x:c>
      <x:c r="I801" s="14" t="str">
        <x:v>David Easley; Jon Kleinberg</x:v>
      </x:c>
      <x:c r="J801" s="18" t="str"/>
      <x:c r="K801" s="14" t="str">
        <x:v>教学</x:v>
      </x:c>
      <x:c r="L801" s="14" t="str">
        <x:v>选读</x:v>
      </x:c>
      <x:c r="M801" s="14" t="str">
        <x:v>以网页课程、在线章节或项目文档形式提供。</x:v>
      </x:c>
      <x:c r="N801" s="14" t="str">
        <x:v>打开官方入口，使用站点提供的下载功能；网页教程可继续在线使用。</x:v>
      </x:c>
      <x:c r="O801" s="14" t="str">
        <x:v>第 3 章：强弱连带；连接理论、网络数据与实验。</x:v>
      </x:c>
      <x:c r="P801" s="14" t="str"/>
      <x:c r="Q801" s="14" t="str"/>
      <x:c r="R801" s="17"/>
      <x:c r="S801" s="14" t="str"/>
      <x:c r="T801" s="14" t="str"/>
      <x:c r="U801" s="19" t="n">
        <x:v>46303</x:v>
      </x:c>
    </x:row>
    <x:row r="802" ht="68" customHeight="1">
      <x:c r="A802" s="14" t="str">
        <x:v>D-5E4FB409</x:v>
      </x:c>
      <x:c r="B802" s="14" t="str">
        <x:v>在线阅读</x:v>
      </x:c>
      <x:c r="C802" s="14" t="str">
        <x:v>Stan 官方案例库</x:v>
      </x:c>
      <x:c r="D802" s="14" t="str">
        <x:v>英文</x:v>
      </x:c>
      <x:c r="E802" s="15" t="str">
        <x:v>未处理</x:v>
      </x:c>
      <x:c r="F802" s="15" t="str"/>
      <x:c r="G802" s="16" t="str">
        <x:v>https://mc-stan.org/users/documentation/case-studies</x:v>
      </x:c>
      <x:c r="H802" s="14" t="str">
        <x:v>K01</x:v>
      </x:c>
      <x:c r="I802" s="14" t="str">
        <x:v>Stan Development Team</x:v>
      </x:c>
      <x:c r="J802" s="18" t="str"/>
      <x:c r="K802" s="14" t="str">
        <x:v>教材 / 说明书 / 网页</x:v>
      </x:c>
      <x:c r="L802" s="14" t="str">
        <x:v>选读</x:v>
      </x:c>
      <x:c r="M802" s="14" t="str">
        <x:v>以网页课程、在线章节或项目文档形式提供。</x:v>
      </x:c>
      <x:c r="N802" s="14" t="str">
        <x:v>打开官方入口，使用站点提供的下载功能；网页教程可继续在线使用。</x:v>
      </x:c>
      <x:c r="O802" s="14" t="str">
        <x:v>上百个模型的完整代码与讲解</x:v>
      </x:c>
      <x:c r="P802" s="14" t="str"/>
      <x:c r="Q802" s="14" t="str"/>
      <x:c r="R802" s="17"/>
      <x:c r="S802" s="14" t="str"/>
      <x:c r="T802" s="14" t="str"/>
      <x:c r="U802" s="19" t="n">
        <x:v>46303</x:v>
      </x:c>
    </x:row>
    <x:row r="803" ht="68" customHeight="1">
      <x:c r="A803" s="14" t="str">
        <x:v>D-3A816A00</x:v>
      </x:c>
      <x:c r="B803" s="14" t="str">
        <x:v>在线阅读</x:v>
      </x:c>
      <x:c r="C803" s="14" t="str">
        <x:v>Statistical Rethinking 课程主页（免费讲义与代码）</x:v>
      </x:c>
      <x:c r="D803" s="14" t="str">
        <x:v>英文</x:v>
      </x:c>
      <x:c r="E803" s="15" t="str">
        <x:v>未处理</x:v>
      </x:c>
      <x:c r="F803" s="15" t="str"/>
      <x:c r="G803" s="16" t="str">
        <x:v>https://xcelab.net/rm/</x:v>
      </x:c>
      <x:c r="H803" s="14" t="str">
        <x:v>K01</x:v>
      </x:c>
      <x:c r="I803" s="14" t="str">
        <x:v>方法/软件项目</x:v>
      </x:c>
      <x:c r="J803" s="18" t="str"/>
      <x:c r="K803" s="14" t="str">
        <x:v>教材 / 说明书 / 网页</x:v>
      </x:c>
      <x:c r="L803" s="14" t="str">
        <x:v>选读</x:v>
      </x:c>
      <x:c r="M803" s="14" t="str">
        <x:v>以网页课程、在线章节或项目文档形式提供。</x:v>
      </x:c>
      <x:c r="N803" s="14" t="str">
        <x:v>打开官方入口，使用站点提供的下载功能；网页教程可继续在线使用。</x:v>
      </x:c>
      <x:c r="O803" s="14" t="str">
        <x:v>本条目的方法说明、参数、示例或诊断入口。</x:v>
      </x:c>
      <x:c r="P803" s="14" t="str"/>
      <x:c r="Q803" s="14" t="str"/>
      <x:c r="R803" s="17"/>
      <x:c r="S803" s="14" t="str"/>
      <x:c r="T803" s="14" t="str"/>
      <x:c r="U803" s="19" t="n">
        <x:v>46303</x:v>
      </x:c>
    </x:row>
    <x:row r="804" ht="68" customHeight="1">
      <x:c r="A804" s="14" t="str">
        <x:v>D-2622582B</x:v>
      </x:c>
      <x:c r="B804" s="14" t="str">
        <x:v>在线阅读</x:v>
      </x:c>
      <x:c r="C804" s="14" t="str">
        <x:v>Stan 官方文档与案例库</x:v>
      </x:c>
      <x:c r="D804" s="14" t="str">
        <x:v>英文</x:v>
      </x:c>
      <x:c r="E804" s="15" t="str">
        <x:v>未处理</x:v>
      </x:c>
      <x:c r="F804" s="15" t="str"/>
      <x:c r="G804" s="16" t="str">
        <x:v>https://mc-stan.org/</x:v>
      </x:c>
      <x:c r="H804" s="14" t="str">
        <x:v>K01；K02</x:v>
      </x:c>
      <x:c r="I804" s="14" t="str">
        <x:v>方法/软件项目</x:v>
      </x:c>
      <x:c r="J804" s="18" t="str"/>
      <x:c r="K804" s="14" t="str">
        <x:v>教材 / 说明书 / 网页</x:v>
      </x:c>
      <x:c r="L804" s="14" t="str">
        <x:v>选读</x:v>
      </x:c>
      <x:c r="M804" s="14" t="str">
        <x:v>以网页课程、在线章节或项目文档形式提供。</x:v>
      </x:c>
      <x:c r="N804" s="14" t="str">
        <x:v>打开官方入口，使用站点提供的下载功能；网页教程可继续在线使用。</x:v>
      </x:c>
      <x:c r="O804" s="14" t="str">
        <x:v>本条目的方法说明、参数、示例或诊断入口。</x:v>
      </x:c>
      <x:c r="P804" s="14" t="str"/>
      <x:c r="Q804" s="14" t="str"/>
      <x:c r="R804" s="17"/>
      <x:c r="S804" s="14" t="str"/>
      <x:c r="T804" s="14" t="str"/>
      <x:c r="U804" s="19" t="n">
        <x:v>46303</x:v>
      </x:c>
    </x:row>
    <x:row r="805" ht="68" customHeight="1">
      <x:c r="A805" s="14" t="str">
        <x:v>D-782BD129</x:v>
      </x:c>
      <x:c r="B805" s="14" t="str">
        <x:v>在线阅读</x:v>
      </x:c>
      <x:c r="C805" s="14" t="str">
        <x:v>ArviZ User Guide</x:v>
      </x:c>
      <x:c r="D805" s="14" t="str">
        <x:v>英文</x:v>
      </x:c>
      <x:c r="E805" s="15" t="str">
        <x:v>未处理</x:v>
      </x:c>
      <x:c r="F805" s="15" t="str"/>
      <x:c r="G805" s="16" t="str">
        <x:v>https://python.arviz.org/en/stable/user_guide/index.html</x:v>
      </x:c>
      <x:c r="H805" s="14" t="str">
        <x:v>K01；K02；K03；K04；K05；K06</x:v>
      </x:c>
      <x:c r="I805" s="14" t="str">
        <x:v>ArviZ project</x:v>
      </x:c>
      <x:c r="J805" s="18" t="str"/>
      <x:c r="K805" s="14" t="str">
        <x:v>教材 / 说明书 / 网页</x:v>
      </x:c>
      <x:c r="L805" s="14" t="str">
        <x:v>选读</x:v>
      </x:c>
      <x:c r="M805" s="14" t="str">
        <x:v>以网页课程、在线章节或项目文档形式提供。</x:v>
      </x:c>
      <x:c r="N805" s="14" t="str">
        <x:v>打开官方入口，使用站点提供的下载功能；网页教程可继续在线使用。</x:v>
      </x:c>
      <x:c r="O805" s="14" t="str">
        <x:v>MCMC 诊断、后验预测检查、模型比较和可视化。</x:v>
      </x:c>
      <x:c r="P805" s="14" t="str"/>
      <x:c r="Q805" s="14" t="str"/>
      <x:c r="R805" s="17"/>
      <x:c r="S805" s="14" t="str"/>
      <x:c r="T805" s="14" t="str"/>
      <x:c r="U805" s="19" t="n">
        <x:v>46303</x:v>
      </x:c>
    </x:row>
    <x:row r="806" ht="68" customHeight="1">
      <x:c r="A806" s="14" t="str">
        <x:v>D-1EBD755F</x:v>
      </x:c>
      <x:c r="B806" s="14" t="str">
        <x:v>在线阅读</x:v>
      </x:c>
      <x:c r="C806" s="14" t="str">
        <x:v>Bayes Rules!</x:v>
      </x:c>
      <x:c r="D806" s="14" t="str">
        <x:v>英文</x:v>
      </x:c>
      <x:c r="E806" s="15" t="str">
        <x:v>未处理</x:v>
      </x:c>
      <x:c r="F806" s="15" t="str"/>
      <x:c r="G806" s="16" t="str">
        <x:v>https://www.bayesrulesbook.com/</x:v>
      </x:c>
      <x:c r="H806" s="14" t="str">
        <x:v>K01；K02；K03；K04；K05；K06</x:v>
      </x:c>
      <x:c r="I806" s="14" t="str">
        <x:v>Johnson, Ott &amp; Dogucu</x:v>
      </x:c>
      <x:c r="J806" s="18" t="str"/>
      <x:c r="K806" s="14" t="str">
        <x:v>教材 / 说明书 / 网页</x:v>
      </x:c>
      <x:c r="L806" s="14" t="str">
        <x:v>选读</x:v>
      </x:c>
      <x:c r="M806" s="14" t="str">
        <x:v>以网页课程、在线章节或项目文档形式提供。</x:v>
      </x:c>
      <x:c r="N806" s="14" t="str">
        <x:v>打开官方入口，使用站点提供的下载功能；网页教程可继续在线使用。</x:v>
      </x:c>
      <x:c r="O806" s="14" t="str">
        <x:v>从贝叶斯基础到回归、层级模型、MCMC 和模型评估的开放教材。</x:v>
      </x:c>
      <x:c r="P806" s="14" t="str"/>
      <x:c r="Q806" s="14" t="str"/>
      <x:c r="R806" s="17"/>
      <x:c r="S806" s="14" t="str"/>
      <x:c r="T806" s="14" t="str"/>
      <x:c r="U806" s="19" t="n">
        <x:v>46303</x:v>
      </x:c>
    </x:row>
    <x:row r="807" ht="68" customHeight="1">
      <x:c r="A807" s="14" t="str">
        <x:v>D-C35D622F</x:v>
      </x:c>
      <x:c r="B807" s="14" t="str">
        <x:v>在线阅读</x:v>
      </x:c>
      <x:c r="C807" s="14" t="str">
        <x:v>Stan case studies</x:v>
      </x:c>
      <x:c r="D807" s="14" t="str">
        <x:v>英文</x:v>
      </x:c>
      <x:c r="E807" s="15" t="str">
        <x:v>未处理</x:v>
      </x:c>
      <x:c r="F807" s="15" t="str"/>
      <x:c r="G807" s="16" t="str">
        <x:v>https://mc-stan.org/learn-stan/case-studies.html</x:v>
      </x:c>
      <x:c r="H807" s="14" t="str">
        <x:v>K01；K02；K03；K04；K05；K06</x:v>
      </x:c>
      <x:c r="I807" s="14" t="str">
        <x:v>Stan Development Team</x:v>
      </x:c>
      <x:c r="J807" s="18" t="str"/>
      <x:c r="K807" s="14" t="str">
        <x:v>教材 / 说明书 / 网页</x:v>
      </x:c>
      <x:c r="L807" s="14" t="str">
        <x:v>选读</x:v>
      </x:c>
      <x:c r="M807" s="14" t="str">
        <x:v>以网页课程、在线章节或项目文档形式提供。</x:v>
      </x:c>
      <x:c r="N807" s="14" t="str">
        <x:v>打开官方入口，使用站点提供的下载功能；网页教程可继续在线使用。</x:v>
      </x:c>
      <x:c r="O807" s="14" t="str">
        <x:v>从建模到诊断的完整案例与可复现代码。</x:v>
      </x:c>
      <x:c r="P807" s="14" t="str"/>
      <x:c r="Q807" s="14" t="str"/>
      <x:c r="R807" s="17"/>
      <x:c r="S807" s="14" t="str"/>
      <x:c r="T807" s="14" t="str"/>
      <x:c r="U807" s="19" t="n">
        <x:v>46303</x:v>
      </x:c>
    </x:row>
    <x:row r="808" ht="68" customHeight="1">
      <x:c r="A808" s="14" t="str">
        <x:v>D-F8017D65</x:v>
      </x:c>
      <x:c r="B808" s="14" t="str">
        <x:v>在线阅读</x:v>
      </x:c>
      <x:c r="C808" s="14" t="str">
        <x:v>Stan User's Guide</x:v>
      </x:c>
      <x:c r="D808" s="14" t="str">
        <x:v>英文</x:v>
      </x:c>
      <x:c r="E808" s="15" t="str">
        <x:v>未处理</x:v>
      </x:c>
      <x:c r="F808" s="15" t="str"/>
      <x:c r="G808" s="16" t="str">
        <x:v>https://mc-stan.org/docs/stan-users-guide/index.html</x:v>
      </x:c>
      <x:c r="H808" s="14" t="str">
        <x:v>K01；K02；K03；K04；K05；K06</x:v>
      </x:c>
      <x:c r="I808" s="14" t="str">
        <x:v>Stan Development Team</x:v>
      </x:c>
      <x:c r="J808" s="18" t="str"/>
      <x:c r="K808" s="14" t="str">
        <x:v>教材 / 说明书 / 网页</x:v>
      </x:c>
      <x:c r="L808" s="14" t="str">
        <x:v>选读</x:v>
      </x:c>
      <x:c r="M808" s="14" t="str">
        <x:v>以网页课程、在线章节或项目文档形式提供。</x:v>
      </x:c>
      <x:c r="N808" s="14" t="str">
        <x:v>打开官方入口，使用站点提供的下载功能；网页教程可继续在线使用。</x:v>
      </x:c>
      <x:c r="O808" s="14" t="str">
        <x:v>官方模型示例、采样、预测检验、交叉验证和计算诊断。</x:v>
      </x:c>
      <x:c r="P808" s="14" t="str"/>
      <x:c r="Q808" s="14" t="str"/>
      <x:c r="R808" s="17"/>
      <x:c r="S808" s="14" t="str"/>
      <x:c r="T808" s="14" t="str"/>
      <x:c r="U808" s="19" t="n">
        <x:v>46303</x:v>
      </x:c>
    </x:row>
    <x:row r="809" ht="68" customHeight="1">
      <x:c r="A809" s="14" t="str">
        <x:v>D-36A586EF</x:v>
      </x:c>
      <x:c r="B809" s="14" t="str">
        <x:v>在线阅读</x:v>
      </x:c>
      <x:c r="C809" s="14" t="str">
        <x:v>统计计算 · 19 MCMC</x:v>
      </x:c>
      <x:c r="D809" s="14" t="str">
        <x:v>中文</x:v>
      </x:c>
      <x:c r="E809" s="15" t="str">
        <x:v>未处理</x:v>
      </x:c>
      <x:c r="F809" s="15" t="str"/>
      <x:c r="G809" s="16" t="str">
        <x:v>https://math.pku.edu.cn/teachers/lidf/docs/statcomp/html/_statcompbook/sim-mcmc.html</x:v>
      </x:c>
      <x:c r="H809" s="14" t="str">
        <x:v>K01；K02；K03；K04；K05；K06</x:v>
      </x:c>
      <x:c r="I809" s="14" t="str">
        <x:v>李东风 · 北京大学</x:v>
      </x:c>
      <x:c r="J809" s="18" t="str"/>
      <x:c r="K809" s="14" t="str">
        <x:v>教材 / 说明书 / 网页</x:v>
      </x:c>
      <x:c r="L809" s="14" t="str">
        <x:v>选读</x:v>
      </x:c>
      <x:c r="M809" s="14" t="str">
        <x:v>以网页课程、在线章节或项目文档形式提供。</x:v>
      </x:c>
      <x:c r="N809" s="14" t="str">
        <x:v>打开官方入口，使用站点提供的下载功能；网页教程可继续在线使用。</x:v>
      </x:c>
      <x:c r="O809" s="14" t="str">
        <x:v>作者公开讲义：算法、推导与 R 计算。</x:v>
      </x:c>
      <x:c r="P809" s="14" t="str"/>
      <x:c r="Q809" s="14" t="str"/>
      <x:c r="R809" s="17"/>
      <x:c r="S809" s="14" t="str"/>
      <x:c r="T809" s="14" t="str"/>
      <x:c r="U809" s="19" t="n">
        <x:v>46303</x:v>
      </x:c>
    </x:row>
    <x:row r="810" ht="68" customHeight="1">
      <x:c r="A810" s="14" t="str">
        <x:v>D-B1E24FE5</x:v>
      </x:c>
      <x:c r="B810" s="14" t="str">
        <x:v>在线阅读</x:v>
      </x:c>
      <x:c r="C810" s="14" t="str">
        <x:v>bayesplot（收敛与后验预测可视化）</x:v>
      </x:c>
      <x:c r="D810" s="14" t="str">
        <x:v>英文</x:v>
      </x:c>
      <x:c r="E810" s="15" t="str">
        <x:v>未处理</x:v>
      </x:c>
      <x:c r="F810" s="15" t="str"/>
      <x:c r="G810" s="16" t="str">
        <x:v>https://mc-stan.org/bayesplot/</x:v>
      </x:c>
      <x:c r="H810" s="14" t="str">
        <x:v>K01；K02；K06</x:v>
      </x:c>
      <x:c r="I810" s="14" t="str">
        <x:v>mc-stan.org</x:v>
      </x:c>
      <x:c r="J810" s="18" t="str"/>
      <x:c r="K810" s="14" t="str">
        <x:v>教材 / 说明书 / 网页</x:v>
      </x:c>
      <x:c r="L810" s="14" t="str">
        <x:v>选读</x:v>
      </x:c>
      <x:c r="M810" s="14" t="str">
        <x:v>以网页课程、在线章节或项目文档形式提供。</x:v>
      </x:c>
      <x:c r="N810" s="14" t="str">
        <x:v>打开官方入口，使用站点提供的下载功能；网页教程可继续在线使用。</x:v>
      </x:c>
      <x:c r="O810" s="14" t="str">
        <x:v>官方说明与使用示例。</x:v>
      </x:c>
      <x:c r="P810" s="14" t="str"/>
      <x:c r="Q810" s="14" t="str"/>
      <x:c r="R810" s="17"/>
      <x:c r="S810" s="14" t="str"/>
      <x:c r="T810" s="14" t="str"/>
      <x:c r="U810" s="19" t="n">
        <x:v>46303</x:v>
      </x:c>
    </x:row>
    <x:row r="811" ht="68" customHeight="1">
      <x:c r="A811" s="14" t="str">
        <x:v>D-E938E43F</x:v>
      </x:c>
      <x:c r="B811" s="14" t="str">
        <x:v>在线阅读</x:v>
      </x:c>
      <x:c r="C811" s="14" t="str">
        <x:v>bayestestR（后验描述与 ROPE）</x:v>
      </x:c>
      <x:c r="D811" s="14" t="str">
        <x:v>英文</x:v>
      </x:c>
      <x:c r="E811" s="15" t="str">
        <x:v>未处理</x:v>
      </x:c>
      <x:c r="F811" s="15" t="str"/>
      <x:c r="G811" s="16" t="str">
        <x:v>https://easystats.github.io/bayestestR/</x:v>
      </x:c>
      <x:c r="H811" s="14" t="str">
        <x:v>K01；K03；K04</x:v>
      </x:c>
      <x:c r="I811" s="14" t="str">
        <x:v>easystats.github.io</x:v>
      </x:c>
      <x:c r="J811" s="18" t="str"/>
      <x:c r="K811" s="14" t="str">
        <x:v>教材 / 说明书 / 网页</x:v>
      </x:c>
      <x:c r="L811" s="14" t="str">
        <x:v>选读</x:v>
      </x:c>
      <x:c r="M811" s="14" t="str">
        <x:v>以网页课程、在线章节或项目文档形式提供。</x:v>
      </x:c>
      <x:c r="N811" s="14" t="str">
        <x:v>打开官方入口，使用站点提供的下载功能；网页教程可继续在线使用。</x:v>
      </x:c>
      <x:c r="O811" s="14" t="str">
        <x:v>官方说明与使用示例。</x:v>
      </x:c>
      <x:c r="P811" s="14" t="str"/>
      <x:c r="Q811" s="14" t="str"/>
      <x:c r="R811" s="17"/>
      <x:c r="S811" s="14" t="str"/>
      <x:c r="T811" s="14" t="str"/>
      <x:c r="U811" s="19" t="n">
        <x:v>46303</x:v>
      </x:c>
    </x:row>
    <x:row r="812" ht="68" customHeight="1">
      <x:c r="A812" s="14" t="str">
        <x:v>D-408EED78</x:v>
      </x:c>
      <x:c r="B812" s="14" t="str">
        <x:v>在线阅读</x:v>
      </x:c>
      <x:c r="C812" s="14" t="str">
        <x:v>bayesplot MCMC 诊断图指南</x:v>
      </x:c>
      <x:c r="D812" s="14" t="str">
        <x:v>英文</x:v>
      </x:c>
      <x:c r="E812" s="15" t="str">
        <x:v>未处理</x:v>
      </x:c>
      <x:c r="F812" s="15" t="str"/>
      <x:c r="G812" s="16" t="str">
        <x:v>https://mc-stan.org/bayesplot/articles/plotting-mcmc-draws.html</x:v>
      </x:c>
      <x:c r="H812" s="14" t="str">
        <x:v>K02</x:v>
      </x:c>
      <x:c r="I812" s="14" t="str">
        <x:v>mc-stan.org</x:v>
      </x:c>
      <x:c r="J812" s="18" t="str"/>
      <x:c r="K812" s="14" t="str">
        <x:v>教材 / 说明书 / 网页</x:v>
      </x:c>
      <x:c r="L812" s="14" t="str">
        <x:v>选读</x:v>
      </x:c>
      <x:c r="M812" s="14" t="str">
        <x:v>以网页课程、在线章节或项目文档形式提供。</x:v>
      </x:c>
      <x:c r="N812" s="14" t="str">
        <x:v>打开官方入口，使用站点提供的下载功能；网页教程可继续在线使用。</x:v>
      </x:c>
      <x:c r="O812" s="14" t="str">
        <x:v>官方说明与使用示例。</x:v>
      </x:c>
      <x:c r="P812" s="14" t="str"/>
      <x:c r="Q812" s="14" t="str"/>
      <x:c r="R812" s="17"/>
      <x:c r="S812" s="14" t="str"/>
      <x:c r="T812" s="14" t="str"/>
      <x:c r="U812" s="19" t="n">
        <x:v>46303</x:v>
      </x:c>
    </x:row>
    <x:row r="813" ht="68" customHeight="1">
      <x:c r="A813" s="14" t="str">
        <x:v>D-CDCE238F</x:v>
      </x:c>
      <x:c r="B813" s="14" t="str">
        <x:v>在线阅读</x:v>
      </x:c>
      <x:c r="C813" s="14" t="str">
        <x:v>Stan 官方文档（用户手册 + 函数参考）</x:v>
      </x:c>
      <x:c r="D813" s="14" t="str">
        <x:v>英文</x:v>
      </x:c>
      <x:c r="E813" s="15" t="str">
        <x:v>未处理</x:v>
      </x:c>
      <x:c r="F813" s="15" t="str"/>
      <x:c r="G813" s="16" t="str">
        <x:v>https://mc-stan.org/docs/</x:v>
      </x:c>
      <x:c r="H813" s="14" t="str">
        <x:v>K02；K05；K06</x:v>
      </x:c>
      <x:c r="I813" s="14" t="str">
        <x:v>方法/软件项目</x:v>
      </x:c>
      <x:c r="J813" s="18" t="str"/>
      <x:c r="K813" s="14" t="str">
        <x:v>教材 / 说明书 / 网页</x:v>
      </x:c>
      <x:c r="L813" s="14" t="str">
        <x:v>选读</x:v>
      </x:c>
      <x:c r="M813" s="14" t="str">
        <x:v>以网页课程、在线章节或项目文档形式提供。</x:v>
      </x:c>
      <x:c r="N813" s="14" t="str">
        <x:v>打开官方入口，使用站点提供的下载功能；网页教程可继续在线使用。</x:v>
      </x:c>
      <x:c r="O813" s="14" t="str">
        <x:v>本条目的方法说明、参数、示例或诊断入口。</x:v>
      </x:c>
      <x:c r="P813" s="14" t="str"/>
      <x:c r="Q813" s="14" t="str"/>
      <x:c r="R813" s="17"/>
      <x:c r="S813" s="14" t="str"/>
      <x:c r="T813" s="14" t="str"/>
      <x:c r="U813" s="19" t="n">
        <x:v>46303</x:v>
      </x:c>
    </x:row>
    <x:row r="814" ht="68" customHeight="1">
      <x:c r="A814" s="14" t="str">
        <x:v>D-B65BFB2C</x:v>
      </x:c>
      <x:c r="B814" s="14" t="str">
        <x:v>在线阅读</x:v>
      </x:c>
      <x:c r="C814" s="14" t="str">
        <x:v>describe_posterior 函数参考</x:v>
      </x:c>
      <x:c r="D814" s="14" t="str">
        <x:v>英文</x:v>
      </x:c>
      <x:c r="E814" s="15" t="str">
        <x:v>未处理</x:v>
      </x:c>
      <x:c r="F814" s="15" t="str"/>
      <x:c r="G814" s="16" t="str">
        <x:v>https://easystats.github.io/bayestestR/reference/describe_posterior.html</x:v>
      </x:c>
      <x:c r="H814" s="14" t="str">
        <x:v>K03</x:v>
      </x:c>
      <x:c r="I814" s="14" t="str">
        <x:v>easystats.github.io</x:v>
      </x:c>
      <x:c r="J814" s="18" t="str"/>
      <x:c r="K814" s="14" t="str">
        <x:v>教材 / 说明书 / 网页</x:v>
      </x:c>
      <x:c r="L814" s="14" t="str">
        <x:v>选读</x:v>
      </x:c>
      <x:c r="M814" s="14" t="str">
        <x:v>以网页课程、在线章节或项目文档形式提供。</x:v>
      </x:c>
      <x:c r="N814" s="14" t="str">
        <x:v>打开官方入口，使用站点提供的下载功能；网页教程可继续在线使用。</x:v>
      </x:c>
      <x:c r="O814" s="14" t="str">
        <x:v>官方说明与使用示例。</x:v>
      </x:c>
      <x:c r="P814" s="14" t="str"/>
      <x:c r="Q814" s="14" t="str"/>
      <x:c r="R814" s="17"/>
      <x:c r="S814" s="14" t="str"/>
      <x:c r="T814" s="14" t="str"/>
      <x:c r="U814" s="19" t="n">
        <x:v>46303</x:v>
      </x:c>
    </x:row>
    <x:row r="815" ht="68" customHeight="1">
      <x:c r="A815" s="14" t="str">
        <x:v>D-9E5CEC54</x:v>
      </x:c>
      <x:c r="B815" s="14" t="str">
        <x:v>在线阅读</x:v>
      </x:c>
      <x:c r="C815" s="14" t="str">
        <x:v>Doing Bayesian Data Analysis 配套资源</x:v>
      </x:c>
      <x:c r="D815" s="14" t="str">
        <x:v>英文</x:v>
      </x:c>
      <x:c r="E815" s="15" t="str">
        <x:v>未处理</x:v>
      </x:c>
      <x:c r="F815" s="15" t="str"/>
      <x:c r="G815" s="16" t="str">
        <x:v>https://sites.google.com/site/doingbayesiandataanalysis/</x:v>
      </x:c>
      <x:c r="H815" s="14" t="str">
        <x:v>K03</x:v>
      </x:c>
      <x:c r="I815" s="14" t="str">
        <x:v>方法/软件项目</x:v>
      </x:c>
      <x:c r="J815" s="18" t="str"/>
      <x:c r="K815" s="14" t="str">
        <x:v>教材 / 说明书 / 网页</x:v>
      </x:c>
      <x:c r="L815" s="14" t="str">
        <x:v>选读</x:v>
      </x:c>
      <x:c r="M815" s="14" t="str">
        <x:v>以网页课程、在线章节或项目文档形式提供。</x:v>
      </x:c>
      <x:c r="N815" s="14" t="str">
        <x:v>打开官方入口，使用站点提供的下载功能；网页教程可继续在线使用。</x:v>
      </x:c>
      <x:c r="O815" s="14" t="str">
        <x:v>本条目的方法说明、参数、示例或诊断入口。</x:v>
      </x:c>
      <x:c r="P815" s="14" t="str"/>
      <x:c r="Q815" s="14" t="str"/>
      <x:c r="R815" s="17"/>
      <x:c r="S815" s="14" t="str"/>
      <x:c r="T815" s="14" t="str"/>
      <x:c r="U815" s="19" t="n">
        <x:v>46303</x:v>
      </x:c>
    </x:row>
    <x:row r="816" ht="68" customHeight="1">
      <x:c r="A816" s="14" t="str">
        <x:v>D-57AB55C0</x:v>
      </x:c>
      <x:c r="B816" s="14" t="str">
        <x:v>在线阅读</x:v>
      </x:c>
      <x:c r="C816" s="14" t="str">
        <x:v>BayesFactor R 包文档</x:v>
      </x:c>
      <x:c r="D816" s="14" t="str">
        <x:v>英文</x:v>
      </x:c>
      <x:c r="E816" s="15" t="str">
        <x:v>未处理</x:v>
      </x:c>
      <x:c r="F816" s="15" t="str"/>
      <x:c r="G816" s="16" t="str">
        <x:v>https://richarddmorey.github.io/BayesFactor/</x:v>
      </x:c>
      <x:c r="H816" s="14" t="str">
        <x:v>K04</x:v>
      </x:c>
      <x:c r="I816" s="14" t="str">
        <x:v>方法/软件项目</x:v>
      </x:c>
      <x:c r="J816" s="18" t="str"/>
      <x:c r="K816" s="14" t="str">
        <x:v>教材 / 说明书 / 网页</x:v>
      </x:c>
      <x:c r="L816" s="14" t="str">
        <x:v>选读</x:v>
      </x:c>
      <x:c r="M816" s="14" t="str">
        <x:v>以网页课程、在线章节或项目文档形式提供。</x:v>
      </x:c>
      <x:c r="N816" s="14" t="str">
        <x:v>打开官方入口，使用站点提供的下载功能；网页教程可继续在线使用。</x:v>
      </x:c>
      <x:c r="O816" s="14" t="str">
        <x:v>本条目的方法说明、参数、示例或诊断入口。</x:v>
      </x:c>
      <x:c r="P816" s="14" t="str"/>
      <x:c r="Q816" s="14" t="str"/>
      <x:c r="R816" s="17"/>
      <x:c r="S816" s="14" t="str"/>
      <x:c r="T816" s="14" t="str"/>
      <x:c r="U816" s="19" t="n">
        <x:v>46303</x:v>
      </x:c>
    </x:row>
    <x:row r="817" ht="68" customHeight="1">
      <x:c r="A817" s="14" t="str">
        <x:v>D-857B53B3</x:v>
      </x:c>
      <x:c r="B817" s="14" t="str">
        <x:v>在线阅读</x:v>
      </x:c>
      <x:c r="C817" s="14" t="str">
        <x:v>BayesFactor 官方文档与源码</x:v>
      </x:c>
      <x:c r="D817" s="14" t="str">
        <x:v>英文</x:v>
      </x:c>
      <x:c r="E817" s="15" t="str">
        <x:v>未处理</x:v>
      </x:c>
      <x:c r="F817" s="15" t="str"/>
      <x:c r="G817" s="16" t="str">
        <x:v>https://github.com/richarddmorey/BayesFactor</x:v>
      </x:c>
      <x:c r="H817" s="14" t="str">
        <x:v>K04</x:v>
      </x:c>
      <x:c r="I817" s="14" t="str">
        <x:v>github.com</x:v>
      </x:c>
      <x:c r="J817" s="18" t="str"/>
      <x:c r="K817" s="14" t="str">
        <x:v>教材 / 说明书 / 网页</x:v>
      </x:c>
      <x:c r="L817" s="14" t="str">
        <x:v>选读</x:v>
      </x:c>
      <x:c r="M817" s="14" t="str">
        <x:v>以网页课程、在线章节或项目文档形式提供。</x:v>
      </x:c>
      <x:c r="N817" s="14" t="str">
        <x:v>打开官方入口，使用站点提供的下载功能；网页教程可继续在线使用。</x:v>
      </x:c>
      <x:c r="O817" s="14" t="str">
        <x:v>官方说明与使用示例。</x:v>
      </x:c>
      <x:c r="P817" s="14" t="str"/>
      <x:c r="Q817" s="14" t="str"/>
      <x:c r="R817" s="17"/>
      <x:c r="S817" s="14" t="str"/>
      <x:c r="T817" s="14" t="str"/>
      <x:c r="U817" s="19" t="n">
        <x:v>46303</x:v>
      </x:c>
    </x:row>
    <x:row r="818" ht="68" customHeight="1">
      <x:c r="A818" s="14" t="str">
        <x:v>D-5C1EEA75</x:v>
      </x:c>
      <x:c r="B818" s="14" t="str">
        <x:v>在线阅读</x:v>
      </x:c>
      <x:c r="C818" s="14" t="str">
        <x:v>brms 官方文档（多层贝叶斯建模）</x:v>
      </x:c>
      <x:c r="D818" s="14" t="str">
        <x:v>英文</x:v>
      </x:c>
      <x:c r="E818" s="15" t="str">
        <x:v>未处理</x:v>
      </x:c>
      <x:c r="F818" s="15" t="str"/>
      <x:c r="G818" s="16" t="str">
        <x:v>http://paulbuerkner.com/brms/</x:v>
      </x:c>
      <x:c r="H818" s="14" t="str">
        <x:v>K05</x:v>
      </x:c>
      <x:c r="I818" s="14" t="str">
        <x:v>方法/软件项目</x:v>
      </x:c>
      <x:c r="J818" s="18" t="str"/>
      <x:c r="K818" s="14" t="str">
        <x:v>教材 / 说明书 / 网页</x:v>
      </x:c>
      <x:c r="L818" s="14" t="str">
        <x:v>选读</x:v>
      </x:c>
      <x:c r="M818" s="14" t="str">
        <x:v>以网页课程、在线章节或项目文档形式提供。</x:v>
      </x:c>
      <x:c r="N818" s="14" t="str">
        <x:v>打开官方入口，使用站点提供的下载功能；网页教程可继续在线使用。</x:v>
      </x:c>
      <x:c r="O818" s="14" t="str">
        <x:v>本条目的方法说明、参数、示例或诊断入口。</x:v>
      </x:c>
      <x:c r="P818" s="14" t="str"/>
      <x:c r="Q818" s="14" t="str"/>
      <x:c r="R818" s="17"/>
      <x:c r="S818" s="14" t="str"/>
      <x:c r="T818" s="14" t="str"/>
      <x:c r="U818" s="19" t="n">
        <x:v>46303</x:v>
      </x:c>
    </x:row>
    <x:row r="819" ht="68" customHeight="1">
      <x:c r="A819" s="14" t="str">
        <x:v>D-0483A739</x:v>
      </x:c>
      <x:c r="B819" s="14" t="str">
        <x:v>在线阅读</x:v>
      </x:c>
      <x:c r="C819" s="14" t="str">
        <x:v>tidybayes（后验整理与可视化）</x:v>
      </x:c>
      <x:c r="D819" s="14" t="str">
        <x:v>英文</x:v>
      </x:c>
      <x:c r="E819" s="15" t="str">
        <x:v>未处理</x:v>
      </x:c>
      <x:c r="F819" s="15" t="str"/>
      <x:c r="G819" s="16" t="str">
        <x:v>http://mjskay.github.io/tidybayes/</x:v>
      </x:c>
      <x:c r="H819" s="14" t="str">
        <x:v>K05</x:v>
      </x:c>
      <x:c r="I819" s="14" t="str">
        <x:v>方法/软件项目</x:v>
      </x:c>
      <x:c r="J819" s="18" t="str"/>
      <x:c r="K819" s="14" t="str">
        <x:v>教材 / 说明书 / 网页</x:v>
      </x:c>
      <x:c r="L819" s="14" t="str">
        <x:v>选读</x:v>
      </x:c>
      <x:c r="M819" s="14" t="str">
        <x:v>以网页课程、在线章节或项目文档形式提供。</x:v>
      </x:c>
      <x:c r="N819" s="14" t="str">
        <x:v>打开官方入口，使用站点提供的下载功能；网页教程可继续在线使用。</x:v>
      </x:c>
      <x:c r="O819" s="14" t="str">
        <x:v>本条目的方法说明、参数、示例或诊断入口。</x:v>
      </x:c>
      <x:c r="P819" s="14" t="str"/>
      <x:c r="Q819" s="14" t="str"/>
      <x:c r="R819" s="17"/>
      <x:c r="S819" s="14" t="str"/>
      <x:c r="T819" s="14" t="str"/>
      <x:c r="U819" s="19" t="n">
        <x:v>46303</x:v>
      </x:c>
    </x:row>
    <x:row r="820" ht="68" customHeight="1">
      <x:c r="A820" s="14" t="str">
        <x:v>D-266B1C54</x:v>
      </x:c>
      <x:c r="B820" s="14" t="str">
        <x:v>在线阅读</x:v>
      </x:c>
      <x:c r="C820" s="14" t="str">
        <x:v>bayesplot 后验预测检验图指南</x:v>
      </x:c>
      <x:c r="D820" s="14" t="str">
        <x:v>英文</x:v>
      </x:c>
      <x:c r="E820" s="15" t="str">
        <x:v>未处理</x:v>
      </x:c>
      <x:c r="F820" s="15" t="str"/>
      <x:c r="G820" s="16" t="str">
        <x:v>https://mc-stan.org/bayesplot/articles/graphical-ppcs.html</x:v>
      </x:c>
      <x:c r="H820" s="14" t="str">
        <x:v>K06</x:v>
      </x:c>
      <x:c r="I820" s="14" t="str">
        <x:v>方法/软件项目</x:v>
      </x:c>
      <x:c r="J820" s="18" t="str"/>
      <x:c r="K820" s="14" t="str">
        <x:v>教材 / 说明书 / 网页</x:v>
      </x:c>
      <x:c r="L820" s="14" t="str">
        <x:v>选读</x:v>
      </x:c>
      <x:c r="M820" s="14" t="str">
        <x:v>以网页课程、在线章节或项目文档形式提供。</x:v>
      </x:c>
      <x:c r="N820" s="14" t="str">
        <x:v>打开官方入口，使用站点提供的下载功能；网页教程可继续在线使用。</x:v>
      </x:c>
      <x:c r="O820" s="14" t="str">
        <x:v>本条目的方法说明、参数、示例或诊断入口。</x:v>
      </x:c>
      <x:c r="P820" s="14" t="str"/>
      <x:c r="Q820" s="14" t="str"/>
      <x:c r="R820" s="17"/>
      <x:c r="S820" s="14" t="str"/>
      <x:c r="T820" s="14" t="str"/>
      <x:c r="U820" s="19" t="n">
        <x:v>46303</x:v>
      </x:c>
    </x:row>
    <x:row r="821" ht="68" customHeight="1">
      <x:c r="A821" s="14" t="str">
        <x:v>D-8B249ADD</x:v>
      </x:c>
      <x:c r="B821" s="14" t="str">
        <x:v>在线阅读</x:v>
      </x:c>
      <x:c r="C821" s="14" t="str">
        <x:v>loo 包（LOO-CV 与 WAIC）</x:v>
      </x:c>
      <x:c r="D821" s="14" t="str">
        <x:v>英文</x:v>
      </x:c>
      <x:c r="E821" s="15" t="str">
        <x:v>未处理</x:v>
      </x:c>
      <x:c r="F821" s="15" t="str"/>
      <x:c r="G821" s="16" t="str">
        <x:v>https://mc-stan.org/loo/</x:v>
      </x:c>
      <x:c r="H821" s="14" t="str">
        <x:v>K06；M15</x:v>
      </x:c>
      <x:c r="I821" s="14" t="str">
        <x:v>方法/软件项目</x:v>
      </x:c>
      <x:c r="J821" s="18" t="str"/>
      <x:c r="K821" s="14" t="str">
        <x:v>教材 / 说明书 / 网页</x:v>
      </x:c>
      <x:c r="L821" s="14" t="str">
        <x:v>选读</x:v>
      </x:c>
      <x:c r="M821" s="14" t="str">
        <x:v>以网页课程、在线章节或项目文档形式提供。</x:v>
      </x:c>
      <x:c r="N821" s="14" t="str">
        <x:v>打开官方入口，使用站点提供的下载功能；网页教程可继续在线使用。</x:v>
      </x:c>
      <x:c r="O821" s="14" t="str">
        <x:v>本条目的方法说明、参数、示例或诊断入口。</x:v>
      </x:c>
      <x:c r="P821" s="14" t="str"/>
      <x:c r="Q821" s="14" t="str"/>
      <x:c r="R821" s="17"/>
      <x:c r="S821" s="14" t="str"/>
      <x:c r="T821" s="14" t="str"/>
      <x:c r="U821" s="19" t="n">
        <x:v>46303</x:v>
      </x:c>
    </x:row>
    <x:row r="822" ht="68" customHeight="1">
      <x:c r="A822" s="14" t="str">
        <x:v>D-C359B913</x:v>
      </x:c>
      <x:c r="B822" s="14" t="str">
        <x:v>在线阅读</x:v>
      </x:c>
      <x:c r="C822" s="14" t="str">
        <x:v>Cochrane 培训材料</x:v>
      </x:c>
      <x:c r="D822" s="14" t="str">
        <x:v>英文</x:v>
      </x:c>
      <x:c r="E822" s="15" t="str">
        <x:v>未处理</x:v>
      </x:c>
      <x:c r="F822" s="15" t="str"/>
      <x:c r="G822" s="16" t="str">
        <x:v>https://training.cochrane.org/</x:v>
      </x:c>
      <x:c r="H822" s="14" t="str">
        <x:v>L01</x:v>
      </x:c>
      <x:c r="I822" s="14" t="str">
        <x:v>Cochrane Collaboration</x:v>
      </x:c>
      <x:c r="J822" s="18" t="str"/>
      <x:c r="K822" s="14" t="str">
        <x:v>教材 / 说明书 / 网页</x:v>
      </x:c>
      <x:c r="L822" s="14" t="str">
        <x:v>选读</x:v>
      </x:c>
      <x:c r="M822" s="14" t="str">
        <x:v>以网页课程、在线章节或项目文档形式提供。</x:v>
      </x:c>
      <x:c r="N822" s="14" t="str">
        <x:v>打开官方入口，使用站点提供的下载功能；网页教程可继续在线使用。</x:v>
      </x:c>
      <x:c r="O822" s="14" t="str">
        <x:v>系统综述流程的行业标准</x:v>
      </x:c>
      <x:c r="P822" s="14" t="str"/>
      <x:c r="Q822" s="14" t="str"/>
      <x:c r="R822" s="17"/>
      <x:c r="S822" s="14" t="str"/>
      <x:c r="T822" s="14" t="str"/>
      <x:c r="U822" s="19" t="n">
        <x:v>46303</x:v>
      </x:c>
    </x:row>
    <x:row r="823" ht="68" customHeight="1">
      <x:c r="A823" s="14" t="str">
        <x:v>D-D934C98F</x:v>
      </x:c>
      <x:c r="B823" s="14" t="str">
        <x:v>在线阅读</x:v>
      </x:c>
      <x:c r="C823" s="14" t="str">
        <x:v>Doing Meta-Analysis with R · Pooling effect sizes</x:v>
      </x:c>
      <x:c r="D823" s="14" t="str">
        <x:v>英文</x:v>
      </x:c>
      <x:c r="E823" s="15" t="str">
        <x:v>未处理</x:v>
      </x:c>
      <x:c r="F823" s="15" t="str"/>
      <x:c r="G823" s="16" t="str">
        <x:v>https://bookdown.org/MathiasHarrer/Doing_Meta_Analysis_in_R/pooling-es.html</x:v>
      </x:c>
      <x:c r="H823" s="14" t="str">
        <x:v>L01</x:v>
      </x:c>
      <x:c r="I823" s="14" t="str">
        <x:v>Mathias Harrer; Pim Cuijpers; Toshi Furukawa; David Ebert</x:v>
      </x:c>
      <x:c r="J823" s="18" t="str"/>
      <x:c r="K823" s="14" t="str">
        <x:v>教学</x:v>
      </x:c>
      <x:c r="L823" s="14" t="str">
        <x:v>选读</x:v>
      </x:c>
      <x:c r="M823" s="14" t="str">
        <x:v>以网页课程、在线章节或项目文档形式提供。</x:v>
      </x:c>
      <x:c r="N823" s="14" t="str">
        <x:v>打开官方入口，使用站点提供的下载功能；网页教程可继续在线使用。</x:v>
      </x:c>
      <x:c r="O823" s="14" t="str">
        <x:v>学习合并效应、不确定性和异质性。</x:v>
      </x:c>
      <x:c r="P823" s="14" t="str"/>
      <x:c r="Q823" s="14" t="str"/>
      <x:c r="R823" s="17"/>
      <x:c r="S823" s="14" t="str"/>
      <x:c r="T823" s="14" t="str"/>
      <x:c r="U823" s="19" t="n">
        <x:v>46303</x:v>
      </x:c>
    </x:row>
    <x:row r="824" ht="68" customHeight="1">
      <x:c r="A824" s="14" t="str">
        <x:v>D-67BB118B</x:v>
      </x:c>
      <x:c r="B824" s="14" t="str">
        <x:v>在线阅读</x:v>
      </x:c>
      <x:c r="C824" s="14" t="str">
        <x:v>PRISMA 报告规范与流程图模板</x:v>
      </x:c>
      <x:c r="D824" s="14" t="str">
        <x:v>英文</x:v>
      </x:c>
      <x:c r="E824" s="15" t="str">
        <x:v>未处理</x:v>
      </x:c>
      <x:c r="F824" s="15" t="str"/>
      <x:c r="G824" s="16" t="str">
        <x:v>https://www.prisma-statement.org/</x:v>
      </x:c>
      <x:c r="H824" s="14" t="str">
        <x:v>L01</x:v>
      </x:c>
      <x:c r="I824" s="14" t="str">
        <x:v>方法/软件项目</x:v>
      </x:c>
      <x:c r="J824" s="18" t="str"/>
      <x:c r="K824" s="14" t="str">
        <x:v>教材 / 说明书 / 网页</x:v>
      </x:c>
      <x:c r="L824" s="14" t="str">
        <x:v>选读</x:v>
      </x:c>
      <x:c r="M824" s="14" t="str">
        <x:v>以网页课程、在线章节或项目文档形式提供。</x:v>
      </x:c>
      <x:c r="N824" s="14" t="str">
        <x:v>打开官方入口，使用站点提供的下载功能；网页教程可继续在线使用。</x:v>
      </x:c>
      <x:c r="O824" s="14" t="str">
        <x:v>本条目的方法说明、参数、示例或诊断入口。</x:v>
      </x:c>
      <x:c r="P824" s="14" t="str"/>
      <x:c r="Q824" s="14" t="str"/>
      <x:c r="R824" s="17"/>
      <x:c r="S824" s="14" t="str"/>
      <x:c r="T824" s="14" t="str"/>
      <x:c r="U824" s="19" t="n">
        <x:v>46303</x:v>
      </x:c>
    </x:row>
    <x:row r="825" ht="68" customHeight="1">
      <x:c r="A825" s="14" t="str">
        <x:v>D-5361B379</x:v>
      </x:c>
      <x:c r="B825" s="14" t="str">
        <x:v>在线阅读</x:v>
      </x:c>
      <x:c r="C825" s="14" t="str">
        <x:v>PROSPERO（系统综述预注册平台）</x:v>
      </x:c>
      <x:c r="D825" s="14" t="str">
        <x:v>英文</x:v>
      </x:c>
      <x:c r="E825" s="15" t="str">
        <x:v>未处理</x:v>
      </x:c>
      <x:c r="F825" s="15" t="str"/>
      <x:c r="G825" s="16" t="str">
        <x:v>https://www.crd.york.ac.uk/prospero/</x:v>
      </x:c>
      <x:c r="H825" s="14" t="str">
        <x:v>L01</x:v>
      </x:c>
      <x:c r="I825" s="14" t="str">
        <x:v>www.crd.york.ac.uk</x:v>
      </x:c>
      <x:c r="J825" s="18" t="str"/>
      <x:c r="K825" s="14" t="str">
        <x:v>教材 / 说明书 / 网页</x:v>
      </x:c>
      <x:c r="L825" s="14" t="str">
        <x:v>选读</x:v>
      </x:c>
      <x:c r="M825" s="14" t="str">
        <x:v>以网页课程、在线章节或项目文档形式提供。</x:v>
      </x:c>
      <x:c r="N825" s="14" t="str">
        <x:v>打开官方入口，使用站点提供的下载功能；网页教程可继续在线使用。</x:v>
      </x:c>
      <x:c r="O825" s="14" t="str">
        <x:v>官方说明与使用示例。</x:v>
      </x:c>
      <x:c r="P825" s="14" t="str"/>
      <x:c r="Q825" s="14" t="str"/>
      <x:c r="R825" s="17"/>
      <x:c r="S825" s="14" t="str"/>
      <x:c r="T825" s="14" t="str"/>
      <x:c r="U825" s="19" t="n">
        <x:v>46303</x:v>
      </x:c>
    </x:row>
    <x:row r="826" ht="68" customHeight="1">
      <x:c r="A826" s="14" t="str">
        <x:v>D-FC3B0E61</x:v>
      </x:c>
      <x:c r="B826" s="14" t="str">
        <x:v>在线阅读</x:v>
      </x:c>
      <x:c r="C826" s="14" t="str">
        <x:v>metafor 官方站</x:v>
      </x:c>
      <x:c r="D826" s="14" t="str">
        <x:v>英文</x:v>
      </x:c>
      <x:c r="E826" s="15" t="str">
        <x:v>未处理</x:v>
      </x:c>
      <x:c r="F826" s="15" t="str"/>
      <x:c r="G826" s="16" t="str">
        <x:v>https://www.metafor-project.org/</x:v>
      </x:c>
      <x:c r="H826" s="14" t="str">
        <x:v>L01；L02</x:v>
      </x:c>
      <x:c r="I826" s="14" t="str">
        <x:v>方法/软件项目</x:v>
      </x:c>
      <x:c r="J826" s="18" t="str"/>
      <x:c r="K826" s="14" t="str">
        <x:v>教材 / 说明书 / 网页</x:v>
      </x:c>
      <x:c r="L826" s="14" t="str">
        <x:v>选读</x:v>
      </x:c>
      <x:c r="M826" s="14" t="str">
        <x:v>以网页课程、在线章节或项目文档形式提供。</x:v>
      </x:c>
      <x:c r="N826" s="14" t="str">
        <x:v>打开官方入口，使用站点提供的下载功能；网页教程可继续在线使用。</x:v>
      </x:c>
      <x:c r="O826" s="14" t="str">
        <x:v>本条目的方法说明、参数、示例或诊断入口。</x:v>
      </x:c>
      <x:c r="P826" s="14" t="str"/>
      <x:c r="Q826" s="14" t="str"/>
      <x:c r="R826" s="17"/>
      <x:c r="S826" s="14" t="str"/>
      <x:c r="T826" s="14" t="str"/>
      <x:c r="U826" s="19" t="n">
        <x:v>46303</x:v>
      </x:c>
    </x:row>
    <x:row r="827" ht="68" customHeight="1">
      <x:c r="A827" s="14" t="str">
        <x:v>D-08483C36</x:v>
      </x:c>
      <x:c r="B827" s="14" t="str">
        <x:v>在线阅读</x:v>
      </x:c>
      <x:c r="C827" s="14" t="str">
        <x:v>Bit by Bit · 开展大规模协作</x:v>
      </x:c>
      <x:c r="D827" s="14" t="str">
        <x:v>中文</x:v>
      </x:c>
      <x:c r="E827" s="15" t="str">
        <x:v>未处理</x:v>
      </x:c>
      <x:c r="F827" s="15" t="str"/>
      <x:c r="G827" s="16" t="str">
        <x:v>https://www.bitbybitbook.com/zh-CN/1st-ed/creating-mass-collaboration/</x:v>
      </x:c>
      <x:c r="H827" s="14" t="str">
        <x:v>L01；L02；L03；L04；L05；L06；L07；L08</x:v>
      </x:c>
      <x:c r="I827" s="14" t="str">
        <x:v>Matthew Salganik · 官方中文版本</x:v>
      </x:c>
      <x:c r="J827" s="18" t="str"/>
      <x:c r="K827" s="14" t="str">
        <x:v>教材 / 说明书 / 网页</x:v>
      </x:c>
      <x:c r="L827" s="14" t="str">
        <x:v>选读</x:v>
      </x:c>
      <x:c r="M827" s="14" t="str">
        <x:v>以网页课程、在线章节或项目文档形式提供。</x:v>
      </x:c>
      <x:c r="N827" s="14" t="str">
        <x:v>打开官方入口，使用站点提供的下载功能；网页教程可继续在线使用。</x:v>
      </x:c>
      <x:c r="O827" s="14" t="str">
        <x:v>中文版本帮助理解研究设计和数字时代的数据生成；不是估计器操作手册。</x:v>
      </x:c>
      <x:c r="P827" s="14" t="str"/>
      <x:c r="Q827" s="14" t="str"/>
      <x:c r="R827" s="17"/>
      <x:c r="S827" s="14" t="str"/>
      <x:c r="T827" s="14" t="str"/>
      <x:c r="U827" s="19" t="n">
        <x:v>46303</x:v>
      </x:c>
    </x:row>
    <x:row r="828" ht="68" customHeight="1">
      <x:c r="A828" s="14" t="str">
        <x:v>D-B33028B6</x:v>
      </x:c>
      <x:c r="B828" s="14" t="str">
        <x:v>在线阅读</x:v>
      </x:c>
      <x:c r="C828" s="14" t="str">
        <x:v>Cochrane Handbook (current)</x:v>
      </x:c>
      <x:c r="D828" s="14" t="str">
        <x:v>英文</x:v>
      </x:c>
      <x:c r="E828" s="15" t="str">
        <x:v>未处理</x:v>
      </x:c>
      <x:c r="F828" s="15" t="str"/>
      <x:c r="G828" s="16" t="str">
        <x:v>https://training.cochrane.org/handbook/current</x:v>
      </x:c>
      <x:c r="H828" s="14" t="str">
        <x:v>L01；L02；L03；L04；L05；L06；L07；L08</x:v>
      </x:c>
      <x:c r="I828" s="14" t="str">
        <x:v>Cochrane</x:v>
      </x:c>
      <x:c r="J828" s="18" t="str"/>
      <x:c r="K828" s="14" t="str">
        <x:v>教材 / 说明书 / 网页</x:v>
      </x:c>
      <x:c r="L828" s="14" t="str">
        <x:v>选读</x:v>
      </x:c>
      <x:c r="M828" s="14" t="str">
        <x:v>以网页课程、在线章节或项目文档形式提供。</x:v>
      </x:c>
      <x:c r="N828" s="14" t="str">
        <x:v>打开官方入口，使用站点提供的下载功能；网页教程可继续在线使用。</x:v>
      </x:c>
      <x:c r="O828" s="14" t="str">
        <x:v>检索、偏倚、效应量、异质性、网络元分析和证据解释。</x:v>
      </x:c>
      <x:c r="P828" s="14" t="str"/>
      <x:c r="Q828" s="14" t="str"/>
      <x:c r="R828" s="17"/>
      <x:c r="S828" s="14" t="str"/>
      <x:c r="T828" s="14" t="str"/>
      <x:c r="U828" s="19" t="n">
        <x:v>46303</x:v>
      </x:c>
    </x:row>
    <x:row r="829" ht="68" customHeight="1">
      <x:c r="A829" s="14" t="str">
        <x:v>D-F81D8648</x:v>
      </x:c>
      <x:c r="B829" s="14" t="str">
        <x:v>在线阅读</x:v>
      </x:c>
      <x:c r="C829" s="14" t="str">
        <x:v>Doing Meta-Analysis in R</x:v>
      </x:c>
      <x:c r="D829" s="14" t="str">
        <x:v>英文</x:v>
      </x:c>
      <x:c r="E829" s="15" t="str">
        <x:v>未处理</x:v>
      </x:c>
      <x:c r="F829" s="15" t="str"/>
      <x:c r="G829" s="16" t="str">
        <x:v>https://bookdown.org/MathiasHarrer/Doing_Meta_Analysis_in_R/</x:v>
      </x:c>
      <x:c r="H829" s="14" t="str">
        <x:v>L01；L02；L03；L04；L05；L06；L07；L08</x:v>
      </x:c>
      <x:c r="I829" s="14" t="str">
        <x:v>Harrer et al.</x:v>
      </x:c>
      <x:c r="J829" s="18" t="str"/>
      <x:c r="K829" s="14" t="str">
        <x:v>教材 / 说明书 / 网页</x:v>
      </x:c>
      <x:c r="L829" s="14" t="str">
        <x:v>选读</x:v>
      </x:c>
      <x:c r="M829" s="14" t="str">
        <x:v>以网页课程、在线章节或项目文档形式提供。</x:v>
      </x:c>
      <x:c r="N829" s="14" t="str">
        <x:v>打开官方入口，使用站点提供的下载功能；网页教程可继续在线使用。</x:v>
      </x:c>
      <x:c r="O829" s="14" t="str">
        <x:v>从效应量到多层、网络和贝叶斯元分析的开放教材与 R 代码。</x:v>
      </x:c>
      <x:c r="P829" s="14" t="str"/>
      <x:c r="Q829" s="14" t="str"/>
      <x:c r="R829" s="17"/>
      <x:c r="S829" s="14" t="str"/>
      <x:c r="T829" s="14" t="str"/>
      <x:c r="U829" s="19" t="n">
        <x:v>46303</x:v>
      </x:c>
    </x:row>
    <x:row r="830" ht="68" customHeight="1">
      <x:c r="A830" s="14" t="str">
        <x:v>D-5A9F7130</x:v>
      </x:c>
      <x:c r="B830" s="14" t="str">
        <x:v>在线阅读</x:v>
      </x:c>
      <x:c r="C830" s="14" t="str">
        <x:v>metafor analysis examples</x:v>
      </x:c>
      <x:c r="D830" s="14" t="str">
        <x:v>英文</x:v>
      </x:c>
      <x:c r="E830" s="15" t="str">
        <x:v>未处理</x:v>
      </x:c>
      <x:c r="F830" s="15" t="str"/>
      <x:c r="G830" s="16" t="str">
        <x:v>https://www.metafor-project.org/doku.php/analyses</x:v>
      </x:c>
      <x:c r="H830" s="14" t="str">
        <x:v>L01；L02；L03；L04；L05；L06；L07；L08</x:v>
      </x:c>
      <x:c r="I830" s="14" t="str">
        <x:v>metafor project</x:v>
      </x:c>
      <x:c r="J830" s="18" t="str"/>
      <x:c r="K830" s="14" t="str">
        <x:v>教材 / 说明书 / 网页</x:v>
      </x:c>
      <x:c r="L830" s="14" t="str">
        <x:v>选读</x:v>
      </x:c>
      <x:c r="M830" s="14" t="str">
        <x:v>以网页课程、在线章节或项目文档形式提供。</x:v>
      </x:c>
      <x:c r="N830" s="14" t="str">
        <x:v>打开官方入口，使用站点提供的下载功能；网页教程可继续在线使用。</x:v>
      </x:c>
      <x:c r="O830" s="14" t="str">
        <x:v>常见元分析问题的逐步代码、数据和输出解释。</x:v>
      </x:c>
      <x:c r="P830" s="14" t="str"/>
      <x:c r="Q830" s="14" t="str"/>
      <x:c r="R830" s="17"/>
      <x:c r="S830" s="14" t="str"/>
      <x:c r="T830" s="14" t="str"/>
      <x:c r="U830" s="19" t="n">
        <x:v>46303</x:v>
      </x:c>
    </x:row>
    <x:row r="831" ht="68" customHeight="1">
      <x:c r="A831" s="14" t="str">
        <x:v>D-1F5F4EEC</x:v>
      </x:c>
      <x:c r="B831" s="14" t="str">
        <x:v>在线阅读</x:v>
      </x:c>
      <x:c r="C831" s="14" t="str">
        <x:v>PRISMA 2020 checklist</x:v>
      </x:c>
      <x:c r="D831" s="14" t="str">
        <x:v>英文</x:v>
      </x:c>
      <x:c r="E831" s="15" t="str">
        <x:v>未处理</x:v>
      </x:c>
      <x:c r="F831" s="15" t="str"/>
      <x:c r="G831" s="16" t="str">
        <x:v>https://www.prisma-statement.org/prisma-2020-checklist</x:v>
      </x:c>
      <x:c r="H831" s="14" t="str">
        <x:v>L01；L02；L03；L04；L05；L06；L07；L08</x:v>
      </x:c>
      <x:c r="I831" s="14" t="str">
        <x:v>PRISMA</x:v>
      </x:c>
      <x:c r="J831" s="18" t="str"/>
      <x:c r="K831" s="14" t="str">
        <x:v>教材 / 说明书 / 网页</x:v>
      </x:c>
      <x:c r="L831" s="14" t="str">
        <x:v>选读</x:v>
      </x:c>
      <x:c r="M831" s="14" t="str">
        <x:v>以网页课程、在线章节或项目文档形式提供。</x:v>
      </x:c>
      <x:c r="N831" s="14" t="str">
        <x:v>打开官方入口，使用站点提供的下载功能；网页教程可继续在线使用。</x:v>
      </x:c>
      <x:c r="O831" s="14" t="str">
        <x:v>系统综述与元分析的报告清单和流程图。</x:v>
      </x:c>
      <x:c r="P831" s="14" t="str"/>
      <x:c r="Q831" s="14" t="str"/>
      <x:c r="R831" s="17"/>
      <x:c r="S831" s="14" t="str"/>
      <x:c r="T831" s="14" t="str"/>
      <x:c r="U831" s="19" t="n">
        <x:v>46303</x:v>
      </x:c>
    </x:row>
    <x:row r="832" ht="68" customHeight="1">
      <x:c r="A832" s="14" t="str">
        <x:v>D-9B7A549D</x:v>
      </x:c>
      <x:c r="B832" s="14" t="str">
        <x:v>在线阅读</x:v>
      </x:c>
      <x:c r="C832" s="14" t="str">
        <x:v>clubSandwich（RVE 小样本校正）</x:v>
      </x:c>
      <x:c r="D832" s="14" t="str">
        <x:v>英文</x:v>
      </x:c>
      <x:c r="E832" s="15" t="str">
        <x:v>未处理</x:v>
      </x:c>
      <x:c r="F832" s="15" t="str"/>
      <x:c r="G832" s="16" t="str">
        <x:v>https://cran.r-project.org/package=clubSandwich</x:v>
      </x:c>
      <x:c r="H832" s="14" t="str">
        <x:v>L02</x:v>
      </x:c>
      <x:c r="I832" s="14" t="str">
        <x:v>方法/软件项目</x:v>
      </x:c>
      <x:c r="J832" s="18" t="str"/>
      <x:c r="K832" s="14" t="str">
        <x:v>教材 / 说明书 / 网页</x:v>
      </x:c>
      <x:c r="L832" s="14" t="str">
        <x:v>选读</x:v>
      </x:c>
      <x:c r="M832" s="14" t="str">
        <x:v>以网页课程、在线章节或项目文档形式提供。</x:v>
      </x:c>
      <x:c r="N832" s="14" t="str">
        <x:v>打开官方入口，使用站点提供的下载功能；网页教程可继续在线使用。</x:v>
      </x:c>
      <x:c r="O832" s="14" t="str">
        <x:v>本条目的方法说明、参数、示例或诊断入口。</x:v>
      </x:c>
      <x:c r="P832" s="14" t="str"/>
      <x:c r="Q832" s="14" t="str"/>
      <x:c r="R832" s="17"/>
      <x:c r="S832" s="14" t="str"/>
      <x:c r="T832" s="14" t="str"/>
      <x:c r="U832" s="19" t="n">
        <x:v>46303</x:v>
      </x:c>
    </x:row>
    <x:row r="833" ht="68" customHeight="1">
      <x:c r="A833" s="14" t="str">
        <x:v>D-BAEBCCC7</x:v>
      </x:c>
      <x:c r="B833" s="14" t="str">
        <x:v>在线阅读</x:v>
      </x:c>
      <x:c r="C833" s="14" t="str">
        <x:v>《心理学报》与《心理科学进展》官方网站</x:v>
      </x:c>
      <x:c r="D833" s="14" t="str">
        <x:v>英文</x:v>
      </x:c>
      <x:c r="E833" s="15" t="str">
        <x:v>未处理</x:v>
      </x:c>
      <x:c r="F833" s="15" t="str"/>
      <x:c r="G833" s="16" t="str">
        <x:v>https://journal.psych.ac.cn/</x:v>
      </x:c>
      <x:c r="H833" s="14" t="str">
        <x:v>L02；L03</x:v>
      </x:c>
      <x:c r="I833" s="14" t="str">
        <x:v>期刊</x:v>
      </x:c>
      <x:c r="J833" s="18" t="str"/>
      <x:c r="K833" s="14" t="str">
        <x:v>教材 / 说明书 / 网页</x:v>
      </x:c>
      <x:c r="L833" s="14" t="str">
        <x:v>选读</x:v>
      </x:c>
      <x:c r="M833" s="14" t="str">
        <x:v>以网页课程、在线章节或项目文档形式提供。</x:v>
      </x:c>
      <x:c r="N833" s="14" t="str">
        <x:v>打开官方入口，使用站点提供的下载功能；网页教程可继续在线使用。</x:v>
      </x:c>
      <x:c r="O833" s="14" t="str">
        <x:v>国内元分析与方法学综述的主要发表阵地，两刊全文长期开放获取，可按「元分析」「三水平」检索</x:v>
      </x:c>
      <x:c r="P833" s="14" t="str"/>
      <x:c r="Q833" s="14" t="str"/>
      <x:c r="R833" s="17"/>
      <x:c r="S833" s="14" t="str"/>
      <x:c r="T833" s="14" t="str"/>
      <x:c r="U833" s="19" t="n">
        <x:v>46303</x:v>
      </x:c>
    </x:row>
    <x:row r="834" ht="68" customHeight="1">
      <x:c r="A834" s="14" t="str">
        <x:v>D-62B96C55</x:v>
      </x:c>
      <x:c r="B834" s="14" t="str">
        <x:v>在线阅读</x:v>
      </x:c>
      <x:c r="C834" s="14" t="str">
        <x:v>Doing Meta-Analysis in R（免费在线教材，含全部 R 代码）</x:v>
      </x:c>
      <x:c r="D834" s="14" t="str">
        <x:v>英文</x:v>
      </x:c>
      <x:c r="E834" s="15" t="str">
        <x:v>未处理</x:v>
      </x:c>
      <x:c r="F834" s="15" t="str"/>
      <x:c r="G834" s="16" t="str">
        <x:v>https://doing-meta.guide/</x:v>
      </x:c>
      <x:c r="H834" s="14" t="str">
        <x:v>L02；L03；L04；L08</x:v>
      </x:c>
      <x:c r="I834" s="14" t="str">
        <x:v>Harrer, Cuijpers, Furukawa &amp; Ebert</x:v>
      </x:c>
      <x:c r="J834" s="18" t="str"/>
      <x:c r="K834" s="14" t="str">
        <x:v>教材 / 说明书 / 网页</x:v>
      </x:c>
      <x:c r="L834" s="14" t="str">
        <x:v>选读</x:v>
      </x:c>
      <x:c r="M834" s="14" t="str">
        <x:v>以网页课程、在线章节或项目文档形式提供。</x:v>
      </x:c>
      <x:c r="N834" s="14" t="str">
        <x:v>打开官方入口，使用站点提供的下载功能；网页教程可继续在线使用。</x:v>
      </x:c>
      <x:c r="O834" s="14" t="str">
        <x:v>第 10 章专讲三层元分析，代码可直接跑；这本书是目前中文圈引用最多的英文元分析实操教材</x:v>
      </x:c>
      <x:c r="P834" s="14" t="str"/>
      <x:c r="Q834" s="14" t="str"/>
      <x:c r="R834" s="17"/>
      <x:c r="S834" s="14" t="str"/>
      <x:c r="T834" s="14" t="str"/>
      <x:c r="U834" s="19" t="n">
        <x:v>46303</x:v>
      </x:c>
    </x:row>
    <x:row r="835" ht="68" customHeight="1">
      <x:c r="A835" s="14" t="str">
        <x:v>D-EDE4B162</x:v>
      </x:c>
      <x:c r="B835" s="14" t="str">
        <x:v>在线阅读</x:v>
      </x:c>
      <x:c r="C835" s="14" t="str">
        <x:v>dmetar 包（配套上书的诊断工具）</x:v>
      </x:c>
      <x:c r="D835" s="14" t="str">
        <x:v>英文</x:v>
      </x:c>
      <x:c r="E835" s="15" t="str">
        <x:v>未处理</x:v>
      </x:c>
      <x:c r="F835" s="15" t="str"/>
      <x:c r="G835" s="16" t="str">
        <x:v>https://dmetar.protectlab.org/</x:v>
      </x:c>
      <x:c r="H835" s="14" t="str">
        <x:v>L03</x:v>
      </x:c>
      <x:c r="I835" s="14" t="str">
        <x:v>dmetar.protectlab.org</x:v>
      </x:c>
      <x:c r="J835" s="18" t="str"/>
      <x:c r="K835" s="14" t="str">
        <x:v>教材 / 说明书 / 网页</x:v>
      </x:c>
      <x:c r="L835" s="14" t="str">
        <x:v>选读</x:v>
      </x:c>
      <x:c r="M835" s="14" t="str">
        <x:v>以网页课程、在线章节或项目文档形式提供。</x:v>
      </x:c>
      <x:c r="N835" s="14" t="str">
        <x:v>打开官方入口，使用站点提供的下载功能；网页教程可继续在线使用。</x:v>
      </x:c>
      <x:c r="O835" s="14" t="str">
        <x:v>官方说明与使用示例。</x:v>
      </x:c>
      <x:c r="P835" s="14" t="str"/>
      <x:c r="Q835" s="14" t="str"/>
      <x:c r="R835" s="17"/>
      <x:c r="S835" s="14" t="str"/>
      <x:c r="T835" s="14" t="str"/>
      <x:c r="U835" s="19" t="n">
        <x:v>46303</x:v>
      </x:c>
    </x:row>
    <x:row r="836" ht="68" customHeight="1">
      <x:c r="A836" s="14" t="str">
        <x:v>D-795D5130</x:v>
      </x:c>
      <x:c r="B836" s="14" t="str">
        <x:v>在线阅读</x:v>
      </x:c>
      <x:c r="C836" s="14" t="str">
        <x:v>dmetar::pcurve 函数文档（R 实现）</x:v>
      </x:c>
      <x:c r="D836" s="14" t="str">
        <x:v>英文</x:v>
      </x:c>
      <x:c r="E836" s="15" t="str">
        <x:v>未处理</x:v>
      </x:c>
      <x:c r="F836" s="15" t="str"/>
      <x:c r="G836" s="16" t="str">
        <x:v>https://dmetar.protectlab.org/reference/pcurve</x:v>
      </x:c>
      <x:c r="H836" s="14" t="str">
        <x:v>L04</x:v>
      </x:c>
      <x:c r="I836" s="14" t="str">
        <x:v>dmetar.protectlab.org</x:v>
      </x:c>
      <x:c r="J836" s="18" t="str"/>
      <x:c r="K836" s="14" t="str">
        <x:v>教材 / 说明书 / 网页</x:v>
      </x:c>
      <x:c r="L836" s="14" t="str">
        <x:v>选读</x:v>
      </x:c>
      <x:c r="M836" s="14" t="str">
        <x:v>以网页课程、在线章节或项目文档形式提供。</x:v>
      </x:c>
      <x:c r="N836" s="14" t="str">
        <x:v>打开官方入口，使用站点提供的下载功能；网页教程可继续在线使用。</x:v>
      </x:c>
      <x:c r="O836" s="14" t="str">
        <x:v>官方说明与使用示例。</x:v>
      </x:c>
      <x:c r="P836" s="14" t="str"/>
      <x:c r="Q836" s="14" t="str"/>
      <x:c r="R836" s="17"/>
      <x:c r="S836" s="14" t="str"/>
      <x:c r="T836" s="14" t="str"/>
      <x:c r="U836" s="19" t="n">
        <x:v>46303</x:v>
      </x:c>
    </x:row>
    <x:row r="837" ht="68" customHeight="1">
      <x:c r="A837" s="14" t="str">
        <x:v>D-F3560F98</x:v>
      </x:c>
      <x:c r="B837" s="14" t="str">
        <x:v>在线阅读</x:v>
      </x:c>
      <x:c r="C837" s="14" t="str">
        <x:v>p-curve 官方在线应用（原作者提供）</x:v>
      </x:c>
      <x:c r="D837" s="14" t="str">
        <x:v>英文</x:v>
      </x:c>
      <x:c r="E837" s="15" t="str">
        <x:v>未处理</x:v>
      </x:c>
      <x:c r="F837" s="15" t="str"/>
      <x:c r="G837" s="16" t="str">
        <x:v>https://www.p-curve.com/app4/</x:v>
      </x:c>
      <x:c r="H837" s="14" t="str">
        <x:v>L04</x:v>
      </x:c>
      <x:c r="I837" s="14" t="str">
        <x:v>方法/软件项目</x:v>
      </x:c>
      <x:c r="J837" s="18" t="str"/>
      <x:c r="K837" s="14" t="str">
        <x:v>教材 / 说明书 / 网页</x:v>
      </x:c>
      <x:c r="L837" s="14" t="str">
        <x:v>选读</x:v>
      </x:c>
      <x:c r="M837" s="14" t="str">
        <x:v>以网页课程、在线章节或项目文档形式提供。</x:v>
      </x:c>
      <x:c r="N837" s="14" t="str">
        <x:v>打开官方入口，使用站点提供的下载功能；网页教程可继续在线使用。</x:v>
      </x:c>
      <x:c r="O837" s="14" t="str">
        <x:v>本条目的方法说明、参数、示例或诊断入口。</x:v>
      </x:c>
      <x:c r="P837" s="14" t="str"/>
      <x:c r="Q837" s="14" t="str"/>
      <x:c r="R837" s="17"/>
      <x:c r="S837" s="14" t="str"/>
      <x:c r="T837" s="14" t="str"/>
      <x:c r="U837" s="19" t="n">
        <x:v>46303</x:v>
      </x:c>
    </x:row>
    <x:row r="838" ht="68" customHeight="1">
      <x:c r="A838" s="14" t="str">
        <x:v>D-891F16BF</x:v>
      </x:c>
      <x:c r="B838" s="14" t="str">
        <x:v>在线阅读</x:v>
      </x:c>
      <x:c r="C838" s="14" t="str">
        <x:v>p-curve.com（原作者提供的在线工具）</x:v>
      </x:c>
      <x:c r="D838" s="14" t="str">
        <x:v>英文</x:v>
      </x:c>
      <x:c r="E838" s="15" t="str">
        <x:v>未处理</x:v>
      </x:c>
      <x:c r="F838" s="15" t="str"/>
      <x:c r="G838" s="16" t="str">
        <x:v>http://www.p-curve.com/</x:v>
      </x:c>
      <x:c r="H838" s="14" t="str">
        <x:v>L04</x:v>
      </x:c>
      <x:c r="I838" s="14" t="str">
        <x:v>方法/软件项目</x:v>
      </x:c>
      <x:c r="J838" s="18" t="str"/>
      <x:c r="K838" s="14" t="str">
        <x:v>教材 / 说明书 / 网页</x:v>
      </x:c>
      <x:c r="L838" s="14" t="str">
        <x:v>选读</x:v>
      </x:c>
      <x:c r="M838" s="14" t="str">
        <x:v>以网页课程、在线章节或项目文档形式提供。</x:v>
      </x:c>
      <x:c r="N838" s="14" t="str">
        <x:v>打开官方入口，使用站点提供的下载功能；网页教程可继续在线使用。</x:v>
      </x:c>
      <x:c r="O838" s="14" t="str">
        <x:v>本条目的方法说明、参数、示例或诊断入口。</x:v>
      </x:c>
      <x:c r="P838" s="14" t="str"/>
      <x:c r="Q838" s="14" t="str"/>
      <x:c r="R838" s="17"/>
      <x:c r="S838" s="14" t="str"/>
      <x:c r="T838" s="14" t="str"/>
      <x:c r="U838" s="19" t="n">
        <x:v>46303</x:v>
      </x:c>
    </x:row>
    <x:row r="839" ht="68" customHeight="1">
      <x:c r="A839" s="14" t="str">
        <x:v>D-8988D7FD</x:v>
      </x:c>
      <x:c r="B839" s="14" t="str">
        <x:v>在线阅读</x:v>
      </x:c>
      <x:c r="C839" s="14" t="str">
        <x:v>puniform 包</x:v>
      </x:c>
      <x:c r="D839" s="14" t="str">
        <x:v>英文</x:v>
      </x:c>
      <x:c r="E839" s="15" t="str">
        <x:v>未处理</x:v>
      </x:c>
      <x:c r="F839" s="15" t="str"/>
      <x:c r="G839" s="16" t="str">
        <x:v>https://cran.r-project.org/package=puniform</x:v>
      </x:c>
      <x:c r="H839" s="14" t="str">
        <x:v>L04</x:v>
      </x:c>
      <x:c r="I839" s="14" t="str">
        <x:v>方法/软件项目</x:v>
      </x:c>
      <x:c r="J839" s="18" t="str"/>
      <x:c r="K839" s="14" t="str">
        <x:v>教材 / 说明书 / 网页</x:v>
      </x:c>
      <x:c r="L839" s="14" t="str">
        <x:v>选读</x:v>
      </x:c>
      <x:c r="M839" s="14" t="str">
        <x:v>以网页课程、在线章节或项目文档形式提供。</x:v>
      </x:c>
      <x:c r="N839" s="14" t="str">
        <x:v>打开官方入口，使用站点提供的下载功能；网页教程可继续在线使用。</x:v>
      </x:c>
      <x:c r="O839" s="14" t="str">
        <x:v>本条目的方法说明、参数、示例或诊断入口。</x:v>
      </x:c>
      <x:c r="P839" s="14" t="str"/>
      <x:c r="Q839" s="14" t="str"/>
      <x:c r="R839" s="17"/>
      <x:c r="S839" s="14" t="str"/>
      <x:c r="T839" s="14" t="str"/>
      <x:c r="U839" s="19" t="n">
        <x:v>46303</x:v>
      </x:c>
    </x:row>
    <x:row r="840" ht="68" customHeight="1">
      <x:c r="A840" s="14" t="str">
        <x:v>D-82DB5626</x:v>
      </x:c>
      <x:c r="B840" s="14" t="str">
        <x:v>在线阅读</x:v>
      </x:c>
      <x:c r="C840" s="14" t="str">
        <x:v>multiverse 包</x:v>
      </x:c>
      <x:c r="D840" s="14" t="str">
        <x:v>英文</x:v>
      </x:c>
      <x:c r="E840" s="15" t="str">
        <x:v>未处理</x:v>
      </x:c>
      <x:c r="F840" s="15" t="str"/>
      <x:c r="G840" s="16" t="str">
        <x:v>https://mucollective.github.io/multiverse/</x:v>
      </x:c>
      <x:c r="H840" s="14" t="str">
        <x:v>L05</x:v>
      </x:c>
      <x:c r="I840" s="14" t="str">
        <x:v>方法/软件项目</x:v>
      </x:c>
      <x:c r="J840" s="18" t="str"/>
      <x:c r="K840" s="14" t="str">
        <x:v>教材 / 说明书 / 网页</x:v>
      </x:c>
      <x:c r="L840" s="14" t="str">
        <x:v>选读</x:v>
      </x:c>
      <x:c r="M840" s="14" t="str">
        <x:v>以网页课程、在线章节或项目文档形式提供。</x:v>
      </x:c>
      <x:c r="N840" s="14" t="str">
        <x:v>打开官方入口，使用站点提供的下载功能；网页教程可继续在线使用。</x:v>
      </x:c>
      <x:c r="O840" s="14" t="str">
        <x:v>本条目的方法说明、参数、示例或诊断入口。</x:v>
      </x:c>
      <x:c r="P840" s="14" t="str"/>
      <x:c r="Q840" s="14" t="str"/>
      <x:c r="R840" s="17"/>
      <x:c r="S840" s="14" t="str"/>
      <x:c r="T840" s="14" t="str"/>
      <x:c r="U840" s="19" t="n">
        <x:v>46303</x:v>
      </x:c>
    </x:row>
    <x:row r="841" ht="68" customHeight="1">
      <x:c r="A841" s="14" t="str">
        <x:v>D-0923F90F</x:v>
      </x:c>
      <x:c r="B841" s="14" t="str">
        <x:v>在线阅读</x:v>
      </x:c>
      <x:c r="C841" s="14" t="str">
        <x:v>specr CRAN 页面</x:v>
      </x:c>
      <x:c r="D841" s="14" t="str">
        <x:v>英文</x:v>
      </x:c>
      <x:c r="E841" s="15" t="str">
        <x:v>未处理</x:v>
      </x:c>
      <x:c r="F841" s="15" t="str"/>
      <x:c r="G841" s="16" t="str">
        <x:v>https://cran.r-project.org/package=specr</x:v>
      </x:c>
      <x:c r="H841" s="14" t="str">
        <x:v>L05</x:v>
      </x:c>
      <x:c r="I841" s="14" t="str">
        <x:v>cran.r-project.org</x:v>
      </x:c>
      <x:c r="J841" s="18" t="str"/>
      <x:c r="K841" s="14" t="str">
        <x:v>教材 / 说明书 / 网页</x:v>
      </x:c>
      <x:c r="L841" s="14" t="str">
        <x:v>选读</x:v>
      </x:c>
      <x:c r="M841" s="14" t="str">
        <x:v>以网页课程、在线章节或项目文档形式提供。</x:v>
      </x:c>
      <x:c r="N841" s="14" t="str">
        <x:v>打开官方入口，使用站点提供的下载功能；网页教程可继续在线使用。</x:v>
      </x:c>
      <x:c r="O841" s="14" t="str">
        <x:v>官方说明与使用示例。</x:v>
      </x:c>
      <x:c r="P841" s="14" t="str"/>
      <x:c r="Q841" s="14" t="str"/>
      <x:c r="R841" s="17"/>
      <x:c r="S841" s="14" t="str"/>
      <x:c r="T841" s="14" t="str"/>
      <x:c r="U841" s="19" t="n">
        <x:v>46303</x:v>
      </x:c>
    </x:row>
    <x:row r="842" ht="68" customHeight="1">
      <x:c r="A842" s="14" t="str">
        <x:v>D-1F4C73BE</x:v>
      </x:c>
      <x:c r="B842" s="14" t="str">
        <x:v>在线阅读</x:v>
      </x:c>
      <x:c r="C842" s="14" t="str">
        <x:v>specr 包官方文档</x:v>
      </x:c>
      <x:c r="D842" s="14" t="str">
        <x:v>英文</x:v>
      </x:c>
      <x:c r="E842" s="15" t="str">
        <x:v>未处理</x:v>
      </x:c>
      <x:c r="F842" s="15" t="str"/>
      <x:c r="G842" s="16" t="str">
        <x:v>https://masurp.github.io/specr/</x:v>
      </x:c>
      <x:c r="H842" s="14" t="str">
        <x:v>L05</x:v>
      </x:c>
      <x:c r="I842" s="14" t="str">
        <x:v>方法/软件项目</x:v>
      </x:c>
      <x:c r="J842" s="18" t="str"/>
      <x:c r="K842" s="14" t="str">
        <x:v>教材 / 说明书 / 网页</x:v>
      </x:c>
      <x:c r="L842" s="14" t="str">
        <x:v>选读</x:v>
      </x:c>
      <x:c r="M842" s="14" t="str">
        <x:v>以网页课程、在线章节或项目文档形式提供。</x:v>
      </x:c>
      <x:c r="N842" s="14" t="str">
        <x:v>打开官方入口，使用站点提供的下载功能；网页教程可继续在线使用。</x:v>
      </x:c>
      <x:c r="O842" s="14" t="str">
        <x:v>本条目的方法说明、参数、示例或诊断入口。</x:v>
      </x:c>
      <x:c r="P842" s="14" t="str"/>
      <x:c r="Q842" s="14" t="str"/>
      <x:c r="R842" s="17"/>
      <x:c r="S842" s="14" t="str"/>
      <x:c r="T842" s="14" t="str"/>
      <x:c r="U842" s="19" t="n">
        <x:v>46303</x:v>
      </x:c>
    </x:row>
    <x:row r="843" ht="68" customHeight="1">
      <x:c r="A843" s="14" t="str">
        <x:v>D-BCAD963B</x:v>
      </x:c>
      <x:c r="B843" s="14" t="str">
        <x:v>在线阅读</x:v>
      </x:c>
      <x:c r="C843" s="14" t="str">
        <x:v>specr 官方教程系列（可运行 vignette）</x:v>
      </x:c>
      <x:c r="D843" s="14" t="str">
        <x:v>英文</x:v>
      </x:c>
      <x:c r="E843" s="15" t="str">
        <x:v>未处理</x:v>
      </x:c>
      <x:c r="F843" s="15" t="str"/>
      <x:c r="G843" s="16" t="str">
        <x:v>https://masurp.github.io/specr/articles/specr.html</x:v>
      </x:c>
      <x:c r="H843" s="14" t="str">
        <x:v>L05</x:v>
      </x:c>
      <x:c r="I843" s="14" t="str">
        <x:v>Philipp Masur（阿姆斯特丹自由大学）</x:v>
      </x:c>
      <x:c r="J843" s="18" t="str"/>
      <x:c r="K843" s="14" t="str">
        <x:v>教材 / 说明书 / 网页</x:v>
      </x:c>
      <x:c r="L843" s="14" t="str">
        <x:v>选读</x:v>
      </x:c>
      <x:c r="M843" s="14" t="str">
        <x:v>以网页课程、在线章节或项目文档形式提供。</x:v>
      </x:c>
      <x:c r="N843" s="14" t="str">
        <x:v>打开官方入口，使用站点提供的下载功能；网页教程可继续在线使用。</x:v>
      </x:c>
      <x:c r="O843" s="14" t="str">
        <x:v>从 setup() 到推断的完整可跑示例，含如何画标准设定曲线图与如何做置换检验</x:v>
      </x:c>
      <x:c r="P843" s="14" t="str"/>
      <x:c r="Q843" s="14" t="str"/>
      <x:c r="R843" s="17"/>
      <x:c r="S843" s="14" t="str"/>
      <x:c r="T843" s="14" t="str"/>
      <x:c r="U843" s="19" t="n">
        <x:v>46303</x:v>
      </x:c>
    </x:row>
    <x:row r="844" ht="68" customHeight="1">
      <x:c r="A844" s="14" t="str">
        <x:v>D-D1957D89</x:v>
      </x:c>
      <x:c r="B844" s="14" t="str">
        <x:v>在线阅读</x:v>
      </x:c>
      <x:c r="C844" s="14" t="str">
        <x:v>specr 源码仓库</x:v>
      </x:c>
      <x:c r="D844" s="14" t="str">
        <x:v>英文</x:v>
      </x:c>
      <x:c r="E844" s="15" t="str">
        <x:v>未处理</x:v>
      </x:c>
      <x:c r="F844" s="15" t="str"/>
      <x:c r="G844" s="16" t="str">
        <x:v>https://github.com/masurp/specr</x:v>
      </x:c>
      <x:c r="H844" s="14" t="str">
        <x:v>L05</x:v>
      </x:c>
      <x:c r="I844" s="14" t="str">
        <x:v>github.com</x:v>
      </x:c>
      <x:c r="J844" s="18" t="str"/>
      <x:c r="K844" s="14" t="str">
        <x:v>教材 / 说明书 / 网页</x:v>
      </x:c>
      <x:c r="L844" s="14" t="str">
        <x:v>选读</x:v>
      </x:c>
      <x:c r="M844" s="14" t="str">
        <x:v>以网页课程、在线章节或项目文档形式提供。</x:v>
      </x:c>
      <x:c r="N844" s="14" t="str">
        <x:v>打开官方入口，使用站点提供的下载功能；网页教程可继续在线使用。</x:v>
      </x:c>
      <x:c r="O844" s="14" t="str">
        <x:v>官方说明与使用示例。</x:v>
      </x:c>
      <x:c r="P844" s="14" t="str"/>
      <x:c r="Q844" s="14" t="str"/>
      <x:c r="R844" s="17"/>
      <x:c r="S844" s="14" t="str"/>
      <x:c r="T844" s="14" t="str"/>
      <x:c r="U844" s="19" t="n">
        <x:v>46303</x:v>
      </x:c>
    </x:row>
    <x:row r="845" ht="68" customHeight="1">
      <x:c r="A845" s="14" t="str">
        <x:v>D-004D648F</x:v>
      </x:c>
      <x:c r="B845" s="14" t="str">
        <x:v>在线阅读</x:v>
      </x:c>
      <x:c r="C845" s="14" t="str">
        <x:v>Open Science Framework</x:v>
      </x:c>
      <x:c r="D845" s="14" t="str">
        <x:v>英文</x:v>
      </x:c>
      <x:c r="E845" s="15" t="str">
        <x:v>未处理</x:v>
      </x:c>
      <x:c r="F845" s="15" t="str"/>
      <x:c r="G845" s="16" t="str">
        <x:v>https://osf.io/</x:v>
      </x:c>
      <x:c r="H845" s="14" t="str">
        <x:v>L06</x:v>
      </x:c>
      <x:c r="I845" s="14" t="str">
        <x:v>方法/软件项目</x:v>
      </x:c>
      <x:c r="J845" s="18" t="str"/>
      <x:c r="K845" s="14" t="str">
        <x:v>教材 / 说明书 / 网页</x:v>
      </x:c>
      <x:c r="L845" s="14" t="str">
        <x:v>选读</x:v>
      </x:c>
      <x:c r="M845" s="14" t="str">
        <x:v>以网页课程、在线章节或项目文档形式提供。</x:v>
      </x:c>
      <x:c r="N845" s="14" t="str">
        <x:v>打开官方入口，使用站点提供的下载功能；网页教程可继续在线使用。</x:v>
      </x:c>
      <x:c r="O845" s="14" t="str">
        <x:v>本条目的方法说明、参数、示例或诊断入口。</x:v>
      </x:c>
      <x:c r="P845" s="14" t="str"/>
      <x:c r="Q845" s="14" t="str"/>
      <x:c r="R845" s="17"/>
      <x:c r="S845" s="14" t="str"/>
      <x:c r="T845" s="14" t="str"/>
      <x:c r="U845" s="19" t="n">
        <x:v>46303</x:v>
      </x:c>
    </x:row>
    <x:row r="846" ht="68" customHeight="1">
      <x:c r="A846" s="14" t="str">
        <x:v>D-6FA4F42F</x:v>
      </x:c>
      <x:c r="B846" s="14" t="str">
        <x:v>在线阅读</x:v>
      </x:c>
      <x:c r="C846" s="14" t="str">
        <x:v>Psychological Science Accelerator（多实验室协作网络）</x:v>
      </x:c>
      <x:c r="D846" s="14" t="str">
        <x:v>英文</x:v>
      </x:c>
      <x:c r="E846" s="15" t="str">
        <x:v>未处理</x:v>
      </x:c>
      <x:c r="F846" s="15" t="str"/>
      <x:c r="G846" s="16" t="str">
        <x:v>https://psysciacc.org/</x:v>
      </x:c>
      <x:c r="H846" s="14" t="str">
        <x:v>L06</x:v>
      </x:c>
      <x:c r="I846" s="14" t="str">
        <x:v>方法/软件项目</x:v>
      </x:c>
      <x:c r="J846" s="18" t="str"/>
      <x:c r="K846" s="14" t="str">
        <x:v>教材 / 说明书 / 网页</x:v>
      </x:c>
      <x:c r="L846" s="14" t="str">
        <x:v>选读</x:v>
      </x:c>
      <x:c r="M846" s="14" t="str">
        <x:v>以网页课程、在线章节或项目文档形式提供。</x:v>
      </x:c>
      <x:c r="N846" s="14" t="str">
        <x:v>打开官方入口，使用站点提供的下载功能；网页教程可继续在线使用。</x:v>
      </x:c>
      <x:c r="O846" s="14" t="str">
        <x:v>本条目的方法说明、参数、示例或诊断入口。</x:v>
      </x:c>
      <x:c r="P846" s="14" t="str"/>
      <x:c r="Q846" s="14" t="str"/>
      <x:c r="R846" s="17"/>
      <x:c r="S846" s="14" t="str"/>
      <x:c r="T846" s="14" t="str"/>
      <x:c r="U846" s="19" t="n">
        <x:v>46303</x:v>
      </x:c>
    </x:row>
    <x:row r="847" ht="68" customHeight="1">
      <x:c r="A847" s="14" t="str">
        <x:v>D-8F422972</x:v>
      </x:c>
      <x:c r="B847" s="14" t="str">
        <x:v>在线阅读</x:v>
      </x:c>
      <x:c r="C847" s="14" t="str">
        <x:v>COS 预注册资源（含多团队项目的注册模板）</x:v>
      </x:c>
      <x:c r="D847" s="14" t="str">
        <x:v>英文</x:v>
      </x:c>
      <x:c r="E847" s="15" t="str">
        <x:v>未处理</x:v>
      </x:c>
      <x:c r="F847" s="15" t="str"/>
      <x:c r="G847" s="16" t="str">
        <x:v>https://www.cos.io/initiatives/prereg</x:v>
      </x:c>
      <x:c r="H847" s="14" t="str">
        <x:v>L06；L07</x:v>
      </x:c>
      <x:c r="I847" s="14" t="str">
        <x:v>www.cos.io</x:v>
      </x:c>
      <x:c r="J847" s="18" t="str"/>
      <x:c r="K847" s="14" t="str">
        <x:v>教材 / 说明书 / 网页</x:v>
      </x:c>
      <x:c r="L847" s="14" t="str">
        <x:v>选读</x:v>
      </x:c>
      <x:c r="M847" s="14" t="str">
        <x:v>以网页课程、在线章节或项目文档形式提供。</x:v>
      </x:c>
      <x:c r="N847" s="14" t="str">
        <x:v>打开官方入口，使用站点提供的下载功能；网页教程可继续在线使用。</x:v>
      </x:c>
      <x:c r="O847" s="14" t="str">
        <x:v>官方说明与使用示例。</x:v>
      </x:c>
      <x:c r="P847" s="14" t="str"/>
      <x:c r="Q847" s="14" t="str"/>
      <x:c r="R847" s="17"/>
      <x:c r="S847" s="14" t="str"/>
      <x:c r="T847" s="14" t="str"/>
      <x:c r="U847" s="19" t="n">
        <x:v>46303</x:v>
      </x:c>
    </x:row>
    <x:row r="848" ht="68" customHeight="1">
      <x:c r="A848" s="14" t="str">
        <x:v>D-2C713624</x:v>
      </x:c>
      <x:c r="B848" s="14" t="str">
        <x:v>在线阅读</x:v>
      </x:c>
      <x:c r="C848" s="14" t="str">
        <x:v>OSF 注册与项目托管官方帮助文档</x:v>
      </x:c>
      <x:c r="D848" s="14" t="str">
        <x:v>英文</x:v>
      </x:c>
      <x:c r="E848" s="15" t="str">
        <x:v>未处理</x:v>
      </x:c>
      <x:c r="F848" s="15" t="str"/>
      <x:c r="G848" s="16" t="str">
        <x:v>https://help.osf.io/article/330-welcome-to-registrations</x:v>
      </x:c>
      <x:c r="H848" s="14" t="str">
        <x:v>L06；L07</x:v>
      </x:c>
      <x:c r="I848" s="14" t="str">
        <x:v>Center for Open Science</x:v>
      </x:c>
      <x:c r="J848" s="18" t="str"/>
      <x:c r="K848" s="14" t="str">
        <x:v>教材 / 说明书 / 网页</x:v>
      </x:c>
      <x:c r="L848" s="14" t="str">
        <x:v>选读</x:v>
      </x:c>
      <x:c r="M848" s="14" t="str">
        <x:v>以网页课程、在线章节或项目文档形式提供。</x:v>
      </x:c>
      <x:c r="N848" s="14" t="str">
        <x:v>打开官方入口，使用站点提供的下载功能；网页教程可继续在线使用。</x:v>
      </x:c>
      <x:c r="O848" s="14" t="str">
        <x:v>多分析师研究的组织基础设施说明：怎样冻结数据版本、怎样让各团队独立提交、怎样公开全部方案</x:v>
      </x:c>
      <x:c r="P848" s="14" t="str"/>
      <x:c r="Q848" s="14" t="str"/>
      <x:c r="R848" s="17"/>
      <x:c r="S848" s="14" t="str"/>
      <x:c r="T848" s="14" t="str"/>
      <x:c r="U848" s="19" t="n">
        <x:v>46303</x:v>
      </x:c>
    </x:row>
    <x:row r="849" ht="68" customHeight="1">
      <x:c r="A849" s="14" t="str">
        <x:v>D-96334157</x:v>
      </x:c>
      <x:c r="B849" s="14" t="str">
        <x:v>在线阅读</x:v>
      </x:c>
      <x:c r="C849" s="14" t="str">
        <x:v>AsPredicted（9 问模板）</x:v>
      </x:c>
      <x:c r="D849" s="14" t="str">
        <x:v>英文</x:v>
      </x:c>
      <x:c r="E849" s="15" t="str">
        <x:v>未处理</x:v>
      </x:c>
      <x:c r="F849" s="15" t="str"/>
      <x:c r="G849" s="16" t="str">
        <x:v>https://aspredicted.org/</x:v>
      </x:c>
      <x:c r="H849" s="14" t="str">
        <x:v>L07</x:v>
      </x:c>
      <x:c r="I849" s="14" t="str">
        <x:v>方法/软件项目</x:v>
      </x:c>
      <x:c r="J849" s="18" t="str"/>
      <x:c r="K849" s="14" t="str">
        <x:v>教材 / 说明书 / 网页</x:v>
      </x:c>
      <x:c r="L849" s="14" t="str">
        <x:v>选读</x:v>
      </x:c>
      <x:c r="M849" s="14" t="str">
        <x:v>以网页课程、在线章节或项目文档形式提供。</x:v>
      </x:c>
      <x:c r="N849" s="14" t="str">
        <x:v>打开官方入口，使用站点提供的下载功能；网页教程可继续在线使用。</x:v>
      </x:c>
      <x:c r="O849" s="14" t="str">
        <x:v>本条目的方法说明、参数、示例或诊断入口。</x:v>
      </x:c>
      <x:c r="P849" s="14" t="str"/>
      <x:c r="Q849" s="14" t="str"/>
      <x:c r="R849" s="17"/>
      <x:c r="S849" s="14" t="str"/>
      <x:c r="T849" s="14" t="str"/>
      <x:c r="U849" s="19" t="n">
        <x:v>46303</x:v>
      </x:c>
    </x:row>
    <x:row r="850" ht="68" customHeight="1">
      <x:c r="A850" s="14" t="str">
        <x:v>D-B08B8231</x:v>
      </x:c>
      <x:c r="B850" s="14" t="str">
        <x:v>在线阅读</x:v>
      </x:c>
      <x:c r="C850" s="14" t="str">
        <x:v>OSF Registries</x:v>
      </x:c>
      <x:c r="D850" s="14" t="str">
        <x:v>英文</x:v>
      </x:c>
      <x:c r="E850" s="15" t="str">
        <x:v>未处理</x:v>
      </x:c>
      <x:c r="F850" s="15" t="str"/>
      <x:c r="G850" s="16" t="str">
        <x:v>https://osf.io/registries</x:v>
      </x:c>
      <x:c r="H850" s="14" t="str">
        <x:v>L07</x:v>
      </x:c>
      <x:c r="I850" s="14" t="str">
        <x:v>方法/软件项目</x:v>
      </x:c>
      <x:c r="J850" s="18" t="str"/>
      <x:c r="K850" s="14" t="str">
        <x:v>教材 / 说明书 / 网页</x:v>
      </x:c>
      <x:c r="L850" s="14" t="str">
        <x:v>选读</x:v>
      </x:c>
      <x:c r="M850" s="14" t="str">
        <x:v>以网页课程、在线章节或项目文档形式提供。</x:v>
      </x:c>
      <x:c r="N850" s="14" t="str">
        <x:v>打开官方入口，使用站点提供的下载功能；网页教程可继续在线使用。</x:v>
      </x:c>
      <x:c r="O850" s="14" t="str">
        <x:v>本条目的方法说明、参数、示例或诊断入口。</x:v>
      </x:c>
      <x:c r="P850" s="14" t="str"/>
      <x:c r="Q850" s="14" t="str"/>
      <x:c r="R850" s="17"/>
      <x:c r="S850" s="14" t="str"/>
      <x:c r="T850" s="14" t="str"/>
      <x:c r="U850" s="19" t="n">
        <x:v>46303</x:v>
      </x:c>
    </x:row>
    <x:row r="851" ht="68" customHeight="1">
      <x:c r="A851" s="14" t="str">
        <x:v>D-94506649</x:v>
      </x:c>
      <x:c r="B851" s="14" t="str">
        <x:v>在线阅读</x:v>
      </x:c>
      <x:c r="C851" s="14" t="str">
        <x:v>OSF 注册表单模板库</x:v>
      </x:c>
      <x:c r="D851" s="14" t="str">
        <x:v>英文</x:v>
      </x:c>
      <x:c r="E851" s="15" t="str">
        <x:v>未处理</x:v>
      </x:c>
      <x:c r="F851" s="15" t="str"/>
      <x:c r="G851" s="16" t="str">
        <x:v>https://osf.io/zab38/files/</x:v>
      </x:c>
      <x:c r="H851" s="14" t="str">
        <x:v>L07</x:v>
      </x:c>
      <x:c r="I851" s="14" t="str">
        <x:v>osf.io</x:v>
      </x:c>
      <x:c r="J851" s="18" t="str"/>
      <x:c r="K851" s="14" t="str">
        <x:v>教材 / 说明书 / 网页</x:v>
      </x:c>
      <x:c r="L851" s="14" t="str">
        <x:v>选读</x:v>
      </x:c>
      <x:c r="M851" s="14" t="str">
        <x:v>以网页课程、在线章节或项目文档形式提供。</x:v>
      </x:c>
      <x:c r="N851" s="14" t="str">
        <x:v>打开官方入口，使用站点提供的下载功能；网页教程可继续在线使用。</x:v>
      </x:c>
      <x:c r="O851" s="14" t="str">
        <x:v>官方说明与使用示例。</x:v>
      </x:c>
      <x:c r="P851" s="14" t="str"/>
      <x:c r="Q851" s="14" t="str"/>
      <x:c r="R851" s="17"/>
      <x:c r="S851" s="14" t="str"/>
      <x:c r="T851" s="14" t="str"/>
      <x:c r="U851" s="19" t="n">
        <x:v>46303</x:v>
      </x:c>
    </x:row>
    <x:row r="852" ht="68" customHeight="1">
      <x:c r="A852" s="14" t="str">
        <x:v>D-D7C08587</x:v>
      </x:c>
      <x:c r="B852" s="14" t="str">
        <x:v>在线阅读</x:v>
      </x:c>
      <x:c r="C852" s="14" t="str">
        <x:v>Registered Reports 期刊列表（COS）</x:v>
      </x:c>
      <x:c r="D852" s="14" t="str">
        <x:v>英文</x:v>
      </x:c>
      <x:c r="E852" s="15" t="str">
        <x:v>未处理</x:v>
      </x:c>
      <x:c r="F852" s="15" t="str"/>
      <x:c r="G852" s="16" t="str">
        <x:v>https://www.cos.io/initiatives/registered-reports</x:v>
      </x:c>
      <x:c r="H852" s="14" t="str">
        <x:v>L07</x:v>
      </x:c>
      <x:c r="I852" s="14" t="str">
        <x:v>方法/软件项目</x:v>
      </x:c>
      <x:c r="J852" s="18" t="str"/>
      <x:c r="K852" s="14" t="str">
        <x:v>教材 / 说明书 / 网页</x:v>
      </x:c>
      <x:c r="L852" s="14" t="str">
        <x:v>选读</x:v>
      </x:c>
      <x:c r="M852" s="14" t="str">
        <x:v>以网页课程、在线章节或项目文档形式提供。</x:v>
      </x:c>
      <x:c r="N852" s="14" t="str">
        <x:v>打开官方入口，使用站点提供的下载功能；网页教程可继续在线使用。</x:v>
      </x:c>
      <x:c r="O852" s="14" t="str">
        <x:v>本条目的方法说明、参数、示例或诊断入口。</x:v>
      </x:c>
      <x:c r="P852" s="14" t="str"/>
      <x:c r="Q852" s="14" t="str"/>
      <x:c r="R852" s="17"/>
      <x:c r="S852" s="14" t="str"/>
      <x:c r="T852" s="14" t="str"/>
      <x:c r="U852" s="19" t="n">
        <x:v>46303</x:v>
      </x:c>
    </x:row>
    <x:row r="853" ht="68" customHeight="1">
      <x:c r="A853" s="14" t="str">
        <x:v>D-F95BDD88</x:v>
      </x:c>
      <x:c r="B853" s="14" t="str">
        <x:v>在线阅读</x:v>
      </x:c>
      <x:c r="C853" s="14" t="str">
        <x:v>R语言教程 · 20 研究项目管理</x:v>
      </x:c>
      <x:c r="D853" s="14" t="str">
        <x:v>中文</x:v>
      </x:c>
      <x:c r="E853" s="15" t="str">
        <x:v>未处理</x:v>
      </x:c>
      <x:c r="F853" s="15" t="str"/>
      <x:c r="G853" s="16" t="str">
        <x:v>https://math.pku.edu.cn/teachers/lidf/docs/Rbook/html/_Rbook/knitr.html</x:v>
      </x:c>
      <x:c r="H853" s="14" t="str">
        <x:v>L07</x:v>
      </x:c>
      <x:c r="I853" s="14" t="str">
        <x:v>李东风 · 北京大学</x:v>
      </x:c>
      <x:c r="J853" s="18" t="str"/>
      <x:c r="K853" s="14" t="str">
        <x:v>教材 / 说明书 / 网页</x:v>
      </x:c>
      <x:c r="L853" s="14" t="str">
        <x:v>选读</x:v>
      </x:c>
      <x:c r="M853" s="14" t="str">
        <x:v>以网页课程、在线章节或项目文档形式提供。</x:v>
      </x:c>
      <x:c r="N853" s="14" t="str">
        <x:v>打开官方入口，使用站点提供的下载功能；网页教程可继续在线使用。</x:v>
      </x:c>
      <x:c r="O853" s="14" t="str">
        <x:v>作者课程讲义，含 R 示例与章节练习。</x:v>
      </x:c>
      <x:c r="P853" s="14" t="str"/>
      <x:c r="Q853" s="14" t="str"/>
      <x:c r="R853" s="17"/>
      <x:c r="S853" s="14" t="str"/>
      <x:c r="T853" s="14" t="str"/>
      <x:c r="U853" s="19" t="n">
        <x:v>46303</x:v>
      </x:c>
    </x:row>
    <x:row r="854" ht="68" customHeight="1">
      <x:c r="A854" s="14" t="str">
        <x:v>D-53E39847</x:v>
      </x:c>
      <x:c r="B854" s="14" t="str">
        <x:v>在线阅读</x:v>
      </x:c>
      <x:c r="C854" s="14" t="str">
        <x:v>选择合适的预注册模板（COS 指南）</x:v>
      </x:c>
      <x:c r="D854" s="14" t="str">
        <x:v>英文</x:v>
      </x:c>
      <x:c r="E854" s="15" t="str">
        <x:v>未处理</x:v>
      </x:c>
      <x:c r="F854" s="15" t="str"/>
      <x:c r="G854" s="16" t="str">
        <x:v>https://www.cos.io/blog/choosing-preregistration-template-guide-for-researchers</x:v>
      </x:c>
      <x:c r="H854" s="14" t="str">
        <x:v>L07</x:v>
      </x:c>
      <x:c r="I854" s="14" t="str">
        <x:v>www.cos.io</x:v>
      </x:c>
      <x:c r="J854" s="18" t="str"/>
      <x:c r="K854" s="14" t="str">
        <x:v>教材 / 说明书 / 网页</x:v>
      </x:c>
      <x:c r="L854" s="14" t="str">
        <x:v>选读</x:v>
      </x:c>
      <x:c r="M854" s="14" t="str">
        <x:v>以网页课程、在线章节或项目文档形式提供。</x:v>
      </x:c>
      <x:c r="N854" s="14" t="str">
        <x:v>打开官方入口，使用站点提供的下载功能；网页教程可继续在线使用。</x:v>
      </x:c>
      <x:c r="O854" s="14" t="str">
        <x:v>官方说明与使用示例。</x:v>
      </x:c>
      <x:c r="P854" s="14" t="str"/>
      <x:c r="Q854" s="14" t="str"/>
      <x:c r="R854" s="17"/>
      <x:c r="S854" s="14" t="str"/>
      <x:c r="T854" s="14" t="str"/>
      <x:c r="U854" s="19" t="n">
        <x:v>46303</x:v>
      </x:c>
    </x:row>
    <x:row r="855" ht="68" customHeight="1">
      <x:c r="A855" s="14" t="str">
        <x:v>D-10FBC8A0</x:v>
      </x:c>
      <x:c r="B855" s="14" t="str">
        <x:v>在线阅读</x:v>
      </x:c>
      <x:c r="C855" s="14" t="str">
        <x:v>metaSEM 包</x:v>
      </x:c>
      <x:c r="D855" s="14" t="str">
        <x:v>英文</x:v>
      </x:c>
      <x:c r="E855" s="15" t="str">
        <x:v>未处理</x:v>
      </x:c>
      <x:c r="F855" s="15" t="str"/>
      <x:c r="G855" s="16" t="str">
        <x:v>https://cran.r-project.org/package=metaSEM</x:v>
      </x:c>
      <x:c r="H855" s="14" t="str">
        <x:v>L08</x:v>
      </x:c>
      <x:c r="I855" s="14" t="str">
        <x:v>方法/软件项目</x:v>
      </x:c>
      <x:c r="J855" s="18" t="str"/>
      <x:c r="K855" s="14" t="str">
        <x:v>教材 / 说明书 / 网页</x:v>
      </x:c>
      <x:c r="L855" s="14" t="str">
        <x:v>选读</x:v>
      </x:c>
      <x:c r="M855" s="14" t="str">
        <x:v>以网页课程、在线章节或项目文档形式提供。</x:v>
      </x:c>
      <x:c r="N855" s="14" t="str">
        <x:v>打开官方入口，使用站点提供的下载功能；网页教程可继续在线使用。</x:v>
      </x:c>
      <x:c r="O855" s="14" t="str">
        <x:v>本条目的方法说明、参数、示例或诊断入口。</x:v>
      </x:c>
      <x:c r="P855" s="14" t="str"/>
      <x:c r="Q855" s="14" t="str"/>
      <x:c r="R855" s="17"/>
      <x:c r="S855" s="14" t="str"/>
      <x:c r="T855" s="14" t="str"/>
      <x:c r="U855" s="19" t="n">
        <x:v>46303</x:v>
      </x:c>
    </x:row>
    <x:row r="856" ht="68" customHeight="1">
      <x:c r="A856" s="14" t="str">
        <x:v>D-BF9BF9D0</x:v>
      </x:c>
      <x:c r="B856" s="14" t="str">
        <x:v>在线阅读</x:v>
      </x:c>
      <x:c r="C856" s="14" t="str">
        <x:v>netmeta 包</x:v>
      </x:c>
      <x:c r="D856" s="14" t="str">
        <x:v>英文</x:v>
      </x:c>
      <x:c r="E856" s="15" t="str">
        <x:v>未处理</x:v>
      </x:c>
      <x:c r="F856" s="15" t="str"/>
      <x:c r="G856" s="16" t="str">
        <x:v>https://cran.r-project.org/package=netmeta</x:v>
      </x:c>
      <x:c r="H856" s="14" t="str">
        <x:v>L08</x:v>
      </x:c>
      <x:c r="I856" s="14" t="str">
        <x:v>方法/软件项目</x:v>
      </x:c>
      <x:c r="J856" s="18" t="str"/>
      <x:c r="K856" s="14" t="str">
        <x:v>教材 / 说明书 / 网页</x:v>
      </x:c>
      <x:c r="L856" s="14" t="str">
        <x:v>选读</x:v>
      </x:c>
      <x:c r="M856" s="14" t="str">
        <x:v>以网页课程、在线章节或项目文档形式提供。</x:v>
      </x:c>
      <x:c r="N856" s="14" t="str">
        <x:v>打开官方入口，使用站点提供的下载功能；网页教程可继续在线使用。</x:v>
      </x:c>
      <x:c r="O856" s="14" t="str">
        <x:v>本条目的方法说明、参数、示例或诊断入口。</x:v>
      </x:c>
      <x:c r="P856" s="14" t="str"/>
      <x:c r="Q856" s="14" t="str"/>
      <x:c r="R856" s="17"/>
      <x:c r="S856" s="14" t="str"/>
      <x:c r="T856" s="14" t="str"/>
      <x:c r="U856" s="19" t="n">
        <x:v>46303</x:v>
      </x:c>
    </x:row>
    <x:row r="857" ht="68" customHeight="1">
      <x:c r="A857" s="14" t="str">
        <x:v>D-EFD1A1B6</x:v>
      </x:c>
      <x:c r="B857" s="14" t="str">
        <x:v>在线阅读</x:v>
      </x:c>
      <x:c r="C857" s="14" t="str">
        <x:v>LaTeX 数学符号速查</x:v>
      </x:c>
      <x:c r="D857" s="14" t="str">
        <x:v>英文</x:v>
      </x:c>
      <x:c r="E857" s="15" t="str">
        <x:v>未处理</x:v>
      </x:c>
      <x:c r="F857" s="15" t="str"/>
      <x:c r="G857" s="16" t="str">
        <x:v>https://katex.org/docs/supported.html</x:v>
      </x:c>
      <x:c r="H857" s="14" t="str">
        <x:v>M01</x:v>
      </x:c>
      <x:c r="I857" s="14" t="str">
        <x:v>方法/软件项目</x:v>
      </x:c>
      <x:c r="J857" s="18" t="str"/>
      <x:c r="K857" s="14" t="str">
        <x:v>教材 / 说明书 / 网页</x:v>
      </x:c>
      <x:c r="L857" s="14" t="str">
        <x:v>选读</x:v>
      </x:c>
      <x:c r="M857" s="14" t="str">
        <x:v>以网页课程、在线章节或项目文档形式提供。</x:v>
      </x:c>
      <x:c r="N857" s="14" t="str">
        <x:v>打开官方入口，使用站点提供的下载功能；网页教程可继续在线使用。</x:v>
      </x:c>
      <x:c r="O857" s="14" t="str">
        <x:v>本条目的方法说明、参数、示例或诊断入口。</x:v>
      </x:c>
      <x:c r="P857" s="14" t="str"/>
      <x:c r="Q857" s="14" t="str"/>
      <x:c r="R857" s="17"/>
      <x:c r="S857" s="14" t="str"/>
      <x:c r="T857" s="14" t="str"/>
      <x:c r="U857" s="19" t="n">
        <x:v>46303</x:v>
      </x:c>
    </x:row>
    <x:row r="858" ht="68" customHeight="1">
      <x:c r="A858" s="14" t="str">
        <x:v>D-C4D4DA0E</x:v>
      </x:c>
      <x:c r="B858" s="14" t="str">
        <x:v>在线阅读</x:v>
      </x:c>
      <x:c r="C858" s="14" t="str">
        <x:v>R语言教程 · 7 R向量下标和子集</x:v>
      </x:c>
      <x:c r="D858" s="14" t="str">
        <x:v>中文</x:v>
      </x:c>
      <x:c r="E858" s="15" t="str">
        <x:v>未处理</x:v>
      </x:c>
      <x:c r="F858" s="15" t="str"/>
      <x:c r="G858" s="16" t="str">
        <x:v>https://math.pku.edu.cn/teachers/lidf/docs/Rbook/html/_Rbook/prog-type-index.html</x:v>
      </x:c>
      <x:c r="H858" s="14" t="str">
        <x:v>M01</x:v>
      </x:c>
      <x:c r="I858" s="14" t="str">
        <x:v>李东风 · 北京大学</x:v>
      </x:c>
      <x:c r="J858" s="18" t="str"/>
      <x:c r="K858" s="14" t="str">
        <x:v>教材 / 说明书 / 网页</x:v>
      </x:c>
      <x:c r="L858" s="14" t="str">
        <x:v>选读</x:v>
      </x:c>
      <x:c r="M858" s="14" t="str">
        <x:v>以网页课程、在线章节或项目文档形式提供。</x:v>
      </x:c>
      <x:c r="N858" s="14" t="str">
        <x:v>打开官方入口，使用站点提供的下载功能；网页教程可继续在线使用。</x:v>
      </x:c>
      <x:c r="O858" s="14" t="str">
        <x:v>作者课程讲义，含 R 示例与章节练习。</x:v>
      </x:c>
      <x:c r="P858" s="14" t="str"/>
      <x:c r="Q858" s="14" t="str"/>
      <x:c r="R858" s="17"/>
      <x:c r="S858" s="14" t="str"/>
      <x:c r="T858" s="14" t="str"/>
      <x:c r="U858" s="19" t="n">
        <x:v>46303</x:v>
      </x:c>
    </x:row>
    <x:row r="859" ht="68" customHeight="1">
      <x:c r="A859" s="14" t="str">
        <x:v>D-51F52160</x:v>
      </x:c>
      <x:c r="B859" s="14" t="str">
        <x:v>在线阅读</x:v>
      </x:c>
      <x:c r="C859" s="14" t="str">
        <x:v>18.06 Linear Algebra</x:v>
      </x:c>
      <x:c r="D859" s="14" t="str">
        <x:v>英文</x:v>
      </x:c>
      <x:c r="E859" s="15" t="str">
        <x:v>未处理</x:v>
      </x:c>
      <x:c r="F859" s="15" t="str"/>
      <x:c r="G859" s="16" t="str">
        <x:v>https://ocw.mit.edu/courses/18-06-linear-algebra-spring-2010/</x:v>
      </x:c>
      <x:c r="H859" s="14" t="str">
        <x:v>M01；M02；M03；M04；M05；M06；M07；M08；M09；M10；M11；M12；M13；M14；M15；M16</x:v>
      </x:c>
      <x:c r="I859" s="14" t="str">
        <x:v>MIT OpenCourseWare</x:v>
      </x:c>
      <x:c r="J859" s="18" t="str"/>
      <x:c r="K859" s="14" t="str">
        <x:v>教材 / 说明书 / 网页</x:v>
      </x:c>
      <x:c r="L859" s="14" t="str">
        <x:v>选读</x:v>
      </x:c>
      <x:c r="M859" s="14" t="str">
        <x:v>以网页课程、在线章节或项目文档形式提供。</x:v>
      </x:c>
      <x:c r="N859" s="14" t="str">
        <x:v>打开官方入口，使用站点提供的下载功能；网页教程可继续在线使用。</x:v>
      </x:c>
      <x:c r="O859" s="14" t="str">
        <x:v>矩阵、线性变换、特征值；讲义、视频和习题齐全。</x:v>
      </x:c>
      <x:c r="P859" s="14" t="str"/>
      <x:c r="Q859" s="14" t="str"/>
      <x:c r="R859" s="17"/>
      <x:c r="S859" s="14" t="str"/>
      <x:c r="T859" s="14" t="str"/>
      <x:c r="U859" s="19" t="n">
        <x:v>46303</x:v>
      </x:c>
    </x:row>
    <x:row r="860" ht="68" customHeight="1">
      <x:c r="A860" s="14" t="str">
        <x:v>D-90A79759</x:v>
      </x:c>
      <x:c r="B860" s="14" t="str">
        <x:v>在线阅读</x:v>
      </x:c>
      <x:c r="C860" s="14" t="str">
        <x:v>Calculus Volume 1</x:v>
      </x:c>
      <x:c r="D860" s="14" t="str">
        <x:v>英文</x:v>
      </x:c>
      <x:c r="E860" s="15" t="str">
        <x:v>未处理</x:v>
      </x:c>
      <x:c r="F860" s="15" t="str"/>
      <x:c r="G860" s="16" t="str">
        <x:v>https://openstax.org/books/calculus-volume-1/pages/1-introduction</x:v>
      </x:c>
      <x:c r="H860" s="14" t="str">
        <x:v>M01；M02；M03；M04；M05；M06；M07；M08；M09；M10；M11；M12；M13；M14；M15；M16</x:v>
      </x:c>
      <x:c r="I860" s="14" t="str">
        <x:v>OpenStax / Rice University</x:v>
      </x:c>
      <x:c r="J860" s="18" t="str"/>
      <x:c r="K860" s="14" t="str">
        <x:v>教材 / 说明书 / 网页</x:v>
      </x:c>
      <x:c r="L860" s="14" t="str">
        <x:v>选读</x:v>
      </x:c>
      <x:c r="M860" s="14" t="str">
        <x:v>以网页课程、在线章节或项目文档形式提供。</x:v>
      </x:c>
      <x:c r="N860" s="14" t="str">
        <x:v>打开官方入口，使用站点提供的下载功能；网页教程可继续在线使用。</x:v>
      </x:c>
      <x:c r="O860" s="14" t="str">
        <x:v>函数、极限、导数、积分；每节含例题与复习题。</x:v>
      </x:c>
      <x:c r="P860" s="14" t="str"/>
      <x:c r="Q860" s="14" t="str"/>
      <x:c r="R860" s="17"/>
      <x:c r="S860" s="14" t="str"/>
      <x:c r="T860" s="14" t="str"/>
      <x:c r="U860" s="19" t="n">
        <x:v>46303</x:v>
      </x:c>
    </x:row>
    <x:row r="861" ht="68" customHeight="1">
      <x:c r="A861" s="14" t="str">
        <x:v>D-0C24C60B</x:v>
      </x:c>
      <x:c r="B861" s="14" t="str">
        <x:v>在线阅读</x:v>
      </x:c>
      <x:c r="C861" s="14" t="str">
        <x:v>Seeing Theory</x:v>
      </x:c>
      <x:c r="D861" s="14" t="str">
        <x:v>中文</x:v>
      </x:c>
      <x:c r="E861" s="15" t="str">
        <x:v>未处理</x:v>
      </x:c>
      <x:c r="F861" s="15" t="str"/>
      <x:c r="G861" s="16" t="str">
        <x:v>https://seeing-theory.brown.edu/cn.html</x:v>
      </x:c>
      <x:c r="H861" s="14" t="str">
        <x:v>M01；M02；M03；M04；M05；M06；M07；M08；M09；M10；M11；M12；M13；M14；M15；M16</x:v>
      </x:c>
      <x:c r="I861" s="14" t="str">
        <x:v>Brown University</x:v>
      </x:c>
      <x:c r="J861" s="18" t="str"/>
      <x:c r="K861" s="14" t="str">
        <x:v>教材 / 说明书 / 网页</x:v>
      </x:c>
      <x:c r="L861" s="14" t="str">
        <x:v>选读</x:v>
      </x:c>
      <x:c r="M861" s="14" t="str">
        <x:v>以网页课程、在线章节或项目文档形式提供。</x:v>
      </x:c>
      <x:c r="N861" s="14" t="str">
        <x:v>打开官方入口，使用站点提供的下载功能；网页教程可继续在线使用。</x:v>
      </x:c>
      <x:c r="O861" s="14" t="str">
        <x:v>用可交互图形理解概率分布、频率推断与贝叶斯推断，含中文界面。</x:v>
      </x:c>
      <x:c r="P861" s="14" t="str"/>
      <x:c r="Q861" s="14" t="str"/>
      <x:c r="R861" s="17"/>
      <x:c r="S861" s="14" t="str"/>
      <x:c r="T861" s="14" t="str"/>
      <x:c r="U861" s="19" t="n">
        <x:v>46303</x:v>
      </x:c>
    </x:row>
    <x:row r="862" ht="68" customHeight="1">
      <x:c r="A862" s="14" t="str">
        <x:v>D-54EDA049</x:v>
      </x:c>
      <x:c r="B862" s="14" t="str">
        <x:v>在线阅读</x:v>
      </x:c>
      <x:c r="C862" s="14" t="str">
        <x:v>STAT 414: Introduction to Probability Theory</x:v>
      </x:c>
      <x:c r="D862" s="14" t="str">
        <x:v>英文</x:v>
      </x:c>
      <x:c r="E862" s="15" t="str">
        <x:v>未处理</x:v>
      </x:c>
      <x:c r="F862" s="15" t="str"/>
      <x:c r="G862" s="16" t="str">
        <x:v>https://online.stat.psu.edu/stat414/</x:v>
      </x:c>
      <x:c r="H862" s="14" t="str">
        <x:v>M01；M02；M03；M04；M05；M06；M07；M08；M09；M10；M11；M12；M13；M14；M15；M16</x:v>
      </x:c>
      <x:c r="I862" s="14" t="str">
        <x:v>Penn State Statistics</x:v>
      </x:c>
      <x:c r="J862" s="18" t="str"/>
      <x:c r="K862" s="14" t="str">
        <x:v>教材 / 说明书 / 网页</x:v>
      </x:c>
      <x:c r="L862" s="14" t="str">
        <x:v>选读</x:v>
      </x:c>
      <x:c r="M862" s="14" t="str">
        <x:v>以网页课程、在线章节或项目文档形式提供。</x:v>
      </x:c>
      <x:c r="N862" s="14" t="str">
        <x:v>打开官方入口，使用站点提供的下载功能；网页教程可继续在线使用。</x:v>
      </x:c>
      <x:c r="O862" s="14" t="str">
        <x:v>概率、随机变量、期望、分布与极限定理的分课练习。</x:v>
      </x:c>
      <x:c r="P862" s="14" t="str"/>
      <x:c r="Q862" s="14" t="str"/>
      <x:c r="R862" s="17"/>
      <x:c r="S862" s="14" t="str"/>
      <x:c r="T862" s="14" t="str"/>
      <x:c r="U862" s="19" t="n">
        <x:v>46303</x:v>
      </x:c>
    </x:row>
    <x:row r="863" ht="68" customHeight="1">
      <x:c r="A863" s="14" t="str">
        <x:v>D-99C4D9D5</x:v>
      </x:c>
      <x:c r="B863" s="14" t="str">
        <x:v>在线阅读</x:v>
      </x:c>
      <x:c r="C863" s="14" t="str">
        <x:v>动手学深度学习 · 数据操作</x:v>
      </x:c>
      <x:c r="D863" s="14" t="str">
        <x:v>中文</x:v>
      </x:c>
      <x:c r="E863" s="15" t="str">
        <x:v>未处理</x:v>
      </x:c>
      <x:c r="F863" s="15" t="str"/>
      <x:c r="G863" s="16" t="str">
        <x:v>https://zh-v2.d2l.ai/chapter_preliminaries/ndarray.html</x:v>
      </x:c>
      <x:c r="H863" s="14" t="str">
        <x:v>M01；M03</x:v>
      </x:c>
      <x:c r="I863" s="14" t="str">
        <x:v>张阿斯顿、李沐等</x:v>
      </x:c>
      <x:c r="J863" s="18" t="str"/>
      <x:c r="K863" s="14" t="str">
        <x:v>教材 / 说明书 / 网页</x:v>
      </x:c>
      <x:c r="L863" s="14" t="str">
        <x:v>选读</x:v>
      </x:c>
      <x:c r="M863" s="14" t="str">
        <x:v>以网页课程、在线章节或项目文档形式提供。</x:v>
      </x:c>
      <x:c r="N863" s="14" t="str">
        <x:v>打开官方入口，使用站点提供的下载功能；网页教程可继续在线使用。</x:v>
      </x:c>
      <x:c r="O863" s="14" t="str">
        <x:v>作者开放教材章节，含代码和练习。</x:v>
      </x:c>
      <x:c r="P863" s="14" t="str"/>
      <x:c r="Q863" s="14" t="str"/>
      <x:c r="R863" s="17"/>
      <x:c r="S863" s="14" t="str"/>
      <x:c r="T863" s="14" t="str"/>
      <x:c r="U863" s="19" t="n">
        <x:v>46303</x:v>
      </x:c>
    </x:row>
    <x:row r="864" ht="68" customHeight="1">
      <x:c r="A864" s="14" t="str">
        <x:v>D-3ABFADE8</x:v>
      </x:c>
      <x:c r="B864" s="14" t="str">
        <x:v>在线阅读</x:v>
      </x:c>
      <x:c r="C864" s="14" t="str">
        <x:v>Khan Academy：指数与对数</x:v>
      </x:c>
      <x:c r="D864" s="14" t="str">
        <x:v>英文</x:v>
      </x:c>
      <x:c r="E864" s="15" t="str">
        <x:v>未处理</x:v>
      </x:c>
      <x:c r="F864" s="15" t="str"/>
      <x:c r="G864" s="16" t="str">
        <x:v>https://www.khanacademy.org/math/algebra2/x2ec2f6f830c9fb89:logs</x:v>
      </x:c>
      <x:c r="H864" s="14" t="str">
        <x:v>M02</x:v>
      </x:c>
      <x:c r="I864" s="14" t="str">
        <x:v>方法/软件项目</x:v>
      </x:c>
      <x:c r="J864" s="18" t="str"/>
      <x:c r="K864" s="14" t="str">
        <x:v>教材 / 说明书 / 网页</x:v>
      </x:c>
      <x:c r="L864" s="14" t="str">
        <x:v>选读</x:v>
      </x:c>
      <x:c r="M864" s="14" t="str">
        <x:v>以网页课程、在线章节或项目文档形式提供。</x:v>
      </x:c>
      <x:c r="N864" s="14" t="str">
        <x:v>打开官方入口，使用站点提供的下载功能；网页教程可继续在线使用。</x:v>
      </x:c>
      <x:c r="O864" s="14" t="str">
        <x:v>本条目的方法说明、参数、示例或诊断入口。</x:v>
      </x:c>
      <x:c r="P864" s="14" t="str"/>
      <x:c r="Q864" s="14" t="str"/>
      <x:c r="R864" s="17"/>
      <x:c r="S864" s="14" t="str"/>
      <x:c r="T864" s="14" t="str"/>
      <x:c r="U864" s="19" t="n">
        <x:v>46303</x:v>
      </x:c>
    </x:row>
    <x:row r="865" ht="68" customHeight="1">
      <x:c r="A865" s="14" t="str">
        <x:v>D-FF828534</x:v>
      </x:c>
      <x:c r="B865" s="14" t="str">
        <x:v>在线阅读</x:v>
      </x:c>
      <x:c r="C865" s="14" t="str">
        <x:v>R语言教程 · 12 R矩阵和数组</x:v>
      </x:c>
      <x:c r="D865" s="14" t="str">
        <x:v>中文</x:v>
      </x:c>
      <x:c r="E865" s="15" t="str">
        <x:v>未处理</x:v>
      </x:c>
      <x:c r="F865" s="15" t="str"/>
      <x:c r="G865" s="16" t="str">
        <x:v>https://math.pku.edu.cn/teachers/lidf/docs/Rbook/html/_Rbook/prog-type-matrix.html</x:v>
      </x:c>
      <x:c r="H865" s="14" t="str">
        <x:v>M03；M04</x:v>
      </x:c>
      <x:c r="I865" s="14" t="str">
        <x:v>李东风 · 北京大学</x:v>
      </x:c>
      <x:c r="J865" s="18" t="str"/>
      <x:c r="K865" s="14" t="str">
        <x:v>教材 / 说明书 / 网页</x:v>
      </x:c>
      <x:c r="L865" s="14" t="str">
        <x:v>选读</x:v>
      </x:c>
      <x:c r="M865" s="14" t="str">
        <x:v>以网页课程、在线章节或项目文档形式提供。</x:v>
      </x:c>
      <x:c r="N865" s="14" t="str">
        <x:v>打开官方入口，使用站点提供的下载功能；网页教程可继续在线使用。</x:v>
      </x:c>
      <x:c r="O865" s="14" t="str">
        <x:v>作者课程讲义，含 R 示例与章节练习。</x:v>
      </x:c>
      <x:c r="P865" s="14" t="str"/>
      <x:c r="Q865" s="14" t="str"/>
      <x:c r="R865" s="17"/>
      <x:c r="S865" s="14" t="str"/>
      <x:c r="T865" s="14" t="str"/>
      <x:c r="U865" s="19" t="n">
        <x:v>46303</x:v>
      </x:c>
    </x:row>
    <x:row r="866" ht="68" customHeight="1">
      <x:c r="A866" s="14" t="str">
        <x:v>D-0E55C9EF</x:v>
      </x:c>
      <x:c r="B866" s="14" t="str">
        <x:v>在线阅读</x:v>
      </x:c>
      <x:c r="C866" s="14" t="str">
        <x:v>统计计算 · 27 统计计算中的矩阵计算</x:v>
      </x:c>
      <x:c r="D866" s="14" t="str">
        <x:v>中文</x:v>
      </x:c>
      <x:c r="E866" s="15" t="str">
        <x:v>未处理</x:v>
      </x:c>
      <x:c r="F866" s="15" t="str"/>
      <x:c r="G866" s="16" t="str">
        <x:v>https://math.pku.edu.cn/teachers/lidf/docs/statcomp/html/_statcompbook/matrix-intro.html</x:v>
      </x:c>
      <x:c r="H866" s="14" t="str">
        <x:v>M03；M04</x:v>
      </x:c>
      <x:c r="I866" s="14" t="str">
        <x:v>李东风 · 北京大学</x:v>
      </x:c>
      <x:c r="J866" s="18" t="str"/>
      <x:c r="K866" s="14" t="str">
        <x:v>教材 / 说明书 / 网页</x:v>
      </x:c>
      <x:c r="L866" s="14" t="str">
        <x:v>选读</x:v>
      </x:c>
      <x:c r="M866" s="14" t="str">
        <x:v>以网页课程、在线章节或项目文档形式提供。</x:v>
      </x:c>
      <x:c r="N866" s="14" t="str">
        <x:v>打开官方入口，使用站点提供的下载功能；网页教程可继续在线使用。</x:v>
      </x:c>
      <x:c r="O866" s="14" t="str">
        <x:v>作者公开讲义：算法、推导与 R 计算。</x:v>
      </x:c>
      <x:c r="P866" s="14" t="str"/>
      <x:c r="Q866" s="14" t="str"/>
      <x:c r="R866" s="17"/>
      <x:c r="S866" s="14" t="str"/>
      <x:c r="T866" s="14" t="str"/>
      <x:c r="U866" s="19" t="n">
        <x:v>46303</x:v>
      </x:c>
    </x:row>
    <x:row r="867" ht="68" customHeight="1">
      <x:c r="A867" s="14" t="str">
        <x:v>D-4F66ADF0</x:v>
      </x:c>
      <x:c r="B867" s="14" t="str">
        <x:v>在线阅读</x:v>
      </x:c>
      <x:c r="C867" s="14" t="str">
        <x:v>3Blue1Brown 线性代数的本质</x:v>
      </x:c>
      <x:c r="D867" s="14" t="str">
        <x:v>英文</x:v>
      </x:c>
      <x:c r="E867" s="15" t="str">
        <x:v>未处理</x:v>
      </x:c>
      <x:c r="F867" s="15" t="str"/>
      <x:c r="G867" s="16" t="str">
        <x:v>https://www.3blue1brown.com/topics/linear-algebra</x:v>
      </x:c>
      <x:c r="H867" s="14" t="str">
        <x:v>M03；M04；M05；M06；M07</x:v>
      </x:c>
      <x:c r="I867" s="14" t="str">
        <x:v>方法/软件项目</x:v>
      </x:c>
      <x:c r="J867" s="18" t="str"/>
      <x:c r="K867" s="14" t="str">
        <x:v>教材 / 说明书 / 网页</x:v>
      </x:c>
      <x:c r="L867" s="14" t="str">
        <x:v>选读</x:v>
      </x:c>
      <x:c r="M867" s="14" t="str">
        <x:v>以网页课程、在线章节或项目文档形式提供。</x:v>
      </x:c>
      <x:c r="N867" s="14" t="str">
        <x:v>打开官方入口，使用站点提供的下载功能；网页教程可继续在线使用。</x:v>
      </x:c>
      <x:c r="O867" s="14" t="str">
        <x:v>本条目的方法说明、参数、示例或诊断入口。</x:v>
      </x:c>
      <x:c r="P867" s="14" t="str"/>
      <x:c r="Q867" s="14" t="str"/>
      <x:c r="R867" s="17"/>
      <x:c r="S867" s="14" t="str"/>
      <x:c r="T867" s="14" t="str"/>
      <x:c r="U867" s="19" t="n">
        <x:v>46303</x:v>
      </x:c>
    </x:row>
    <x:row r="868" ht="68" customHeight="1">
      <x:c r="A868" s="14" t="str">
        <x:v>D-1F6F5B5C</x:v>
      </x:c>
      <x:c r="B868" s="14" t="str">
        <x:v>在线阅读</x:v>
      </x:c>
      <x:c r="C868" s="14" t="str">
        <x:v>lavaan：用协方差矩阵拟合模型</x:v>
      </x:c>
      <x:c r="D868" s="14" t="str">
        <x:v>英文</x:v>
      </x:c>
      <x:c r="E868" s="15" t="str">
        <x:v>未处理</x:v>
      </x:c>
      <x:c r="F868" s="15" t="str"/>
      <x:c r="G868" s="16" t="str">
        <x:v>https://lavaan.ugent.be/tutorial/cov.html</x:v>
      </x:c>
      <x:c r="H868" s="14" t="str">
        <x:v>M04</x:v>
      </x:c>
      <x:c r="I868" s="14" t="str">
        <x:v>方法/软件项目</x:v>
      </x:c>
      <x:c r="J868" s="18" t="str"/>
      <x:c r="K868" s="14" t="str">
        <x:v>教材 / 说明书 / 网页</x:v>
      </x:c>
      <x:c r="L868" s="14" t="str">
        <x:v>选读</x:v>
      </x:c>
      <x:c r="M868" s="14" t="str">
        <x:v>以网页课程、在线章节或项目文档形式提供。</x:v>
      </x:c>
      <x:c r="N868" s="14" t="str">
        <x:v>打开官方入口，使用站点提供的下载功能；网页教程可继续在线使用。</x:v>
      </x:c>
      <x:c r="O868" s="14" t="str">
        <x:v>本条目的方法说明、参数、示例或诊断入口。</x:v>
      </x:c>
      <x:c r="P868" s="14" t="str"/>
      <x:c r="Q868" s="14" t="str"/>
      <x:c r="R868" s="17"/>
      <x:c r="S868" s="14" t="str"/>
      <x:c r="T868" s="14" t="str"/>
      <x:c r="U868" s="19" t="n">
        <x:v>46303</x:v>
      </x:c>
    </x:row>
    <x:row r="869" ht="68" customHeight="1">
      <x:c r="A869" s="14" t="str">
        <x:v>D-3B972668</x:v>
      </x:c>
      <x:c r="B869" s="14" t="str">
        <x:v>在线阅读</x:v>
      </x:c>
      <x:c r="C869" s="14" t="str">
        <x:v>3Blue1Brown：特征值与特征向量</x:v>
      </x:c>
      <x:c r="D869" s="14" t="str">
        <x:v>英文</x:v>
      </x:c>
      <x:c r="E869" s="15" t="str">
        <x:v>未处理</x:v>
      </x:c>
      <x:c r="F869" s="15" t="str"/>
      <x:c r="G869" s="16" t="str">
        <x:v>https://www.3blue1brown.com/lessons/eigenvalues</x:v>
      </x:c>
      <x:c r="H869" s="14" t="str">
        <x:v>M05</x:v>
      </x:c>
      <x:c r="I869" s="14" t="str">
        <x:v>方法/软件项目</x:v>
      </x:c>
      <x:c r="J869" s="18" t="str"/>
      <x:c r="K869" s="14" t="str">
        <x:v>教材 / 说明书 / 网页</x:v>
      </x:c>
      <x:c r="L869" s="14" t="str">
        <x:v>选读</x:v>
      </x:c>
      <x:c r="M869" s="14" t="str">
        <x:v>以网页课程、在线章节或项目文档形式提供。</x:v>
      </x:c>
      <x:c r="N869" s="14" t="str">
        <x:v>打开官方入口，使用站点提供的下载功能；网页教程可继续在线使用。</x:v>
      </x:c>
      <x:c r="O869" s="14" t="str">
        <x:v>本条目的方法说明、参数、示例或诊断入口。</x:v>
      </x:c>
      <x:c r="P869" s="14" t="str"/>
      <x:c r="Q869" s="14" t="str"/>
      <x:c r="R869" s="17"/>
      <x:c r="S869" s="14" t="str"/>
      <x:c r="T869" s="14" t="str"/>
      <x:c r="U869" s="19" t="n">
        <x:v>46303</x:v>
      </x:c>
    </x:row>
    <x:row r="870" ht="68" customHeight="1">
      <x:c r="A870" s="14" t="str">
        <x:v>D-A3C164A7</x:v>
      </x:c>
      <x:c r="B870" s="14" t="str">
        <x:v>在线阅读</x:v>
      </x:c>
      <x:c r="C870" s="14" t="str">
        <x:v>3Blue1Brown 微积分的本质</x:v>
      </x:c>
      <x:c r="D870" s="14" t="str">
        <x:v>英文</x:v>
      </x:c>
      <x:c r="E870" s="15" t="str">
        <x:v>未处理</x:v>
      </x:c>
      <x:c r="F870" s="15" t="str"/>
      <x:c r="G870" s="16" t="str">
        <x:v>https://www.3blue1brown.com/topics/calculus</x:v>
      </x:c>
      <x:c r="H870" s="14" t="str">
        <x:v>M06</x:v>
      </x:c>
      <x:c r="I870" s="14" t="str">
        <x:v>方法/软件项目</x:v>
      </x:c>
      <x:c r="J870" s="18" t="str"/>
      <x:c r="K870" s="14" t="str">
        <x:v>教材 / 说明书 / 网页</x:v>
      </x:c>
      <x:c r="L870" s="14" t="str">
        <x:v>选读</x:v>
      </x:c>
      <x:c r="M870" s="14" t="str">
        <x:v>以网页课程、在线章节或项目文档形式提供。</x:v>
      </x:c>
      <x:c r="N870" s="14" t="str">
        <x:v>打开官方入口，使用站点提供的下载功能；网页教程可继续在线使用。</x:v>
      </x:c>
      <x:c r="O870" s="14" t="str">
        <x:v>本条目的方法说明、参数、示例或诊断入口。</x:v>
      </x:c>
      <x:c r="P870" s="14" t="str"/>
      <x:c r="Q870" s="14" t="str"/>
      <x:c r="R870" s="17"/>
      <x:c r="S870" s="14" t="str"/>
      <x:c r="T870" s="14" t="str"/>
      <x:c r="U870" s="19" t="n">
        <x:v>46303</x:v>
      </x:c>
    </x:row>
    <x:row r="871" ht="68" customHeight="1">
      <x:c r="A871" s="14" t="str">
        <x:v>D-A7D4A418</x:v>
      </x:c>
      <x:c r="B871" s="14" t="str">
        <x:v>在线阅读</x:v>
      </x:c>
      <x:c r="C871" s="14" t="str">
        <x:v>统计计算 · 24 数值微分</x:v>
      </x:c>
      <x:c r="D871" s="14" t="str">
        <x:v>中文</x:v>
      </x:c>
      <x:c r="E871" s="15" t="str">
        <x:v>未处理</x:v>
      </x:c>
      <x:c r="F871" s="15" t="str"/>
      <x:c r="G871" s="16" t="str">
        <x:v>https://math.pku.edu.cn/teachers/lidf/docs/statcomp/html/_statcompbook/approx-diff.html</x:v>
      </x:c>
      <x:c r="H871" s="14" t="str">
        <x:v>M06</x:v>
      </x:c>
      <x:c r="I871" s="14" t="str">
        <x:v>李东风 · 北京大学</x:v>
      </x:c>
      <x:c r="J871" s="18" t="str"/>
      <x:c r="K871" s="14" t="str">
        <x:v>教材 / 说明书 / 网页</x:v>
      </x:c>
      <x:c r="L871" s="14" t="str">
        <x:v>选读</x:v>
      </x:c>
      <x:c r="M871" s="14" t="str">
        <x:v>以网页课程、在线章节或项目文档形式提供。</x:v>
      </x:c>
      <x:c r="N871" s="14" t="str">
        <x:v>打开官方入口，使用站点提供的下载功能；网页教程可继续在线使用。</x:v>
      </x:c>
      <x:c r="O871" s="14" t="str">
        <x:v>作者公开讲义：算法、推导与 R 计算。</x:v>
      </x:c>
      <x:c r="P871" s="14" t="str"/>
      <x:c r="Q871" s="14" t="str"/>
      <x:c r="R871" s="17"/>
      <x:c r="S871" s="14" t="str"/>
      <x:c r="T871" s="14" t="str"/>
      <x:c r="U871" s="19" t="n">
        <x:v>46303</x:v>
      </x:c>
    </x:row>
    <x:row r="872" ht="68" customHeight="1">
      <x:c r="A872" s="14" t="str">
        <x:v>D-C81278CC</x:v>
      </x:c>
      <x:c r="B872" s="14" t="str">
        <x:v>在线阅读</x:v>
      </x:c>
      <x:c r="C872" s="14" t="str">
        <x:v>动手学深度学习 · 矩阵计算</x:v>
      </x:c>
      <x:c r="D872" s="14" t="str">
        <x:v>中文</x:v>
      </x:c>
      <x:c r="E872" s="15" t="str">
        <x:v>未处理</x:v>
      </x:c>
      <x:c r="F872" s="15" t="str"/>
      <x:c r="G872" s="16" t="str">
        <x:v>https://zh-v2.d2l.ai/chapter_preliminaries/calculus.html</x:v>
      </x:c>
      <x:c r="H872" s="14" t="str">
        <x:v>M06；M07</x:v>
      </x:c>
      <x:c r="I872" s="14" t="str">
        <x:v>张阿斯顿、李沐等</x:v>
      </x:c>
      <x:c r="J872" s="18" t="str"/>
      <x:c r="K872" s="14" t="str">
        <x:v>教材 / 说明书 / 网页</x:v>
      </x:c>
      <x:c r="L872" s="14" t="str">
        <x:v>选读</x:v>
      </x:c>
      <x:c r="M872" s="14" t="str">
        <x:v>以网页课程、在线章节或项目文档形式提供。</x:v>
      </x:c>
      <x:c r="N872" s="14" t="str">
        <x:v>打开官方入口，使用站点提供的下载功能；网页教程可继续在线使用。</x:v>
      </x:c>
      <x:c r="O872" s="14" t="str">
        <x:v>作者开放教材章节，含代码和练习。</x:v>
      </x:c>
      <x:c r="P872" s="14" t="str"/>
      <x:c r="Q872" s="14" t="str"/>
      <x:c r="R872" s="17"/>
      <x:c r="S872" s="14" t="str"/>
      <x:c r="T872" s="14" t="str"/>
      <x:c r="U872" s="19" t="n">
        <x:v>46303</x:v>
      </x:c>
    </x:row>
    <x:row r="873" ht="68" customHeight="1">
      <x:c r="A873" s="14" t="str">
        <x:v>D-AAB2CD33</x:v>
      </x:c>
      <x:c r="B873" s="14" t="str">
        <x:v>在线阅读</x:v>
      </x:c>
      <x:c r="C873" s="14" t="str">
        <x:v>动手学深度学习 · 自动求导</x:v>
      </x:c>
      <x:c r="D873" s="14" t="str">
        <x:v>中文</x:v>
      </x:c>
      <x:c r="E873" s="15" t="str">
        <x:v>未处理</x:v>
      </x:c>
      <x:c r="F873" s="15" t="str"/>
      <x:c r="G873" s="16" t="str">
        <x:v>https://zh-v2.d2l.ai/chapter_preliminaries/autograd.html</x:v>
      </x:c>
      <x:c r="H873" s="14" t="str">
        <x:v>M06；M14</x:v>
      </x:c>
      <x:c r="I873" s="14" t="str">
        <x:v>张阿斯顿、李沐等</x:v>
      </x:c>
      <x:c r="J873" s="18" t="str"/>
      <x:c r="K873" s="14" t="str">
        <x:v>教材 / 说明书 / 网页</x:v>
      </x:c>
      <x:c r="L873" s="14" t="str">
        <x:v>选读</x:v>
      </x:c>
      <x:c r="M873" s="14" t="str">
        <x:v>以网页课程、在线章节或项目文档形式提供。</x:v>
      </x:c>
      <x:c r="N873" s="14" t="str">
        <x:v>打开官方入口，使用站点提供的下载功能；网页教程可继续在线使用。</x:v>
      </x:c>
      <x:c r="O873" s="14" t="str">
        <x:v>作者开放教材章节，含代码和练习。</x:v>
      </x:c>
      <x:c r="P873" s="14" t="str"/>
      <x:c r="Q873" s="14" t="str"/>
      <x:c r="R873" s="17"/>
      <x:c r="S873" s="14" t="str"/>
      <x:c r="T873" s="14" t="str"/>
      <x:c r="U873" s="19" t="n">
        <x:v>46303</x:v>
      </x:c>
    </x:row>
    <x:row r="874" ht="68" customHeight="1">
      <x:c r="A874" s="14" t="str">
        <x:v>D-485AD9BF</x:v>
      </x:c>
      <x:c r="B874" s="14" t="str">
        <x:v>在线阅读</x:v>
      </x:c>
      <x:c r="C874" s="14" t="str">
        <x:v>统计计算 · 11 随机模拟积分</x:v>
      </x:c>
      <x:c r="D874" s="14" t="str">
        <x:v>中文</x:v>
      </x:c>
      <x:c r="E874" s="15" t="str">
        <x:v>未处理</x:v>
      </x:c>
      <x:c r="F874" s="15" t="str"/>
      <x:c r="G874" s="16" t="str">
        <x:v>https://math.pku.edu.cn/teachers/lidf/docs/statcomp/html/_statcompbook/sim-ranquad.html</x:v>
      </x:c>
      <x:c r="H874" s="14" t="str">
        <x:v>M07</x:v>
      </x:c>
      <x:c r="I874" s="14" t="str">
        <x:v>李东风 · 北京大学</x:v>
      </x:c>
      <x:c r="J874" s="18" t="str"/>
      <x:c r="K874" s="14" t="str">
        <x:v>教材 / 说明书 / 网页</x:v>
      </x:c>
      <x:c r="L874" s="14" t="str">
        <x:v>选读</x:v>
      </x:c>
      <x:c r="M874" s="14" t="str">
        <x:v>以网页课程、在线章节或项目文档形式提供。</x:v>
      </x:c>
      <x:c r="N874" s="14" t="str">
        <x:v>打开官方入口，使用站点提供的下载功能；网页教程可继续在线使用。</x:v>
      </x:c>
      <x:c r="O874" s="14" t="str">
        <x:v>作者公开讲义：算法、推导与 R 计算。</x:v>
      </x:c>
      <x:c r="P874" s="14" t="str"/>
      <x:c r="Q874" s="14" t="str"/>
      <x:c r="R874" s="17"/>
      <x:c r="S874" s="14" t="str"/>
      <x:c r="T874" s="14" t="str"/>
      <x:c r="U874" s="19" t="n">
        <x:v>46303</x:v>
      </x:c>
    </x:row>
    <x:row r="875" ht="68" customHeight="1">
      <x:c r="A875" s="14" t="str">
        <x:v>D-66896E2D</x:v>
      </x:c>
      <x:c r="B875" s="14" t="str">
        <x:v>在线阅读</x:v>
      </x:c>
      <x:c r="C875" s="14" t="str">
        <x:v>Seeing Theory：贝叶斯推断（中文）</x:v>
      </x:c>
      <x:c r="D875" s="14" t="str">
        <x:v>中文</x:v>
      </x:c>
      <x:c r="E875" s="15" t="str">
        <x:v>未处理</x:v>
      </x:c>
      <x:c r="F875" s="15" t="str"/>
      <x:c r="G875" s="16" t="str">
        <x:v>https://seeing-theory.brown.edu/bayesian-inference/cn.html</x:v>
      </x:c>
      <x:c r="H875" s="14" t="str">
        <x:v>M08</x:v>
      </x:c>
      <x:c r="I875" s="14" t="str">
        <x:v>方法/软件项目</x:v>
      </x:c>
      <x:c r="J875" s="18" t="str"/>
      <x:c r="K875" s="14" t="str">
        <x:v>教材 / 说明书 / 网页</x:v>
      </x:c>
      <x:c r="L875" s="14" t="str">
        <x:v>选读</x:v>
      </x:c>
      <x:c r="M875" s="14" t="str">
        <x:v>以网页课程、在线章节或项目文档形式提供。</x:v>
      </x:c>
      <x:c r="N875" s="14" t="str">
        <x:v>打开官方入口，使用站点提供的下载功能；网页教程可继续在线使用。</x:v>
      </x:c>
      <x:c r="O875" s="14" t="str">
        <x:v>本条目的方法说明、参数、示例或诊断入口。</x:v>
      </x:c>
      <x:c r="P875" s="14" t="str"/>
      <x:c r="Q875" s="14" t="str"/>
      <x:c r="R875" s="17"/>
      <x:c r="S875" s="14" t="str"/>
      <x:c r="T875" s="14" t="str"/>
      <x:c r="U875" s="19" t="n">
        <x:v>46303</x:v>
      </x:c>
    </x:row>
    <x:row r="876" ht="68" customHeight="1">
      <x:c r="A876" s="14" t="str">
        <x:v>D-756939D9</x:v>
      </x:c>
      <x:c r="B876" s="14" t="str">
        <x:v>在线阅读</x:v>
      </x:c>
      <x:c r="C876" s="14" t="str">
        <x:v>Seeing Theory：随机变量（中文）</x:v>
      </x:c>
      <x:c r="D876" s="14" t="str">
        <x:v>中文</x:v>
      </x:c>
      <x:c r="E876" s="15" t="str">
        <x:v>未处理</x:v>
      </x:c>
      <x:c r="F876" s="15" t="str"/>
      <x:c r="G876" s="16" t="str">
        <x:v>https://seeing-theory.brown.edu/probability-distributions/cn.html</x:v>
      </x:c>
      <x:c r="H876" s="14" t="str">
        <x:v>M09；M10；M11</x:v>
      </x:c>
      <x:c r="I876" s="14" t="str">
        <x:v>方法/软件项目</x:v>
      </x:c>
      <x:c r="J876" s="18" t="str"/>
      <x:c r="K876" s="14" t="str">
        <x:v>教材 / 说明书 / 网页</x:v>
      </x:c>
      <x:c r="L876" s="14" t="str">
        <x:v>选读</x:v>
      </x:c>
      <x:c r="M876" s="14" t="str">
        <x:v>以网页课程、在线章节或项目文档形式提供。</x:v>
      </x:c>
      <x:c r="N876" s="14" t="str">
        <x:v>打开官方入口，使用站点提供的下载功能；网页教程可继续在线使用。</x:v>
      </x:c>
      <x:c r="O876" s="14" t="str">
        <x:v>本条目的方法说明、参数、示例或诊断入口。</x:v>
      </x:c>
      <x:c r="P876" s="14" t="str"/>
      <x:c r="Q876" s="14" t="str"/>
      <x:c r="R876" s="17"/>
      <x:c r="S876" s="14" t="str"/>
      <x:c r="T876" s="14" t="str"/>
      <x:c r="U876" s="19" t="n">
        <x:v>46303</x:v>
      </x:c>
    </x:row>
    <x:row r="877" ht="68" customHeight="1">
      <x:c r="A877" s="14" t="str">
        <x:v>D-51D9F047</x:v>
      </x:c>
      <x:c r="B877" s="14" t="str">
        <x:v>在线阅读</x:v>
      </x:c>
      <x:c r="C877" s="14" t="str">
        <x:v>NIST 常见概率分布图谱</x:v>
      </x:c>
      <x:c r="D877" s="14" t="str">
        <x:v>英文</x:v>
      </x:c>
      <x:c r="E877" s="15" t="str">
        <x:v>未处理</x:v>
      </x:c>
      <x:c r="F877" s="15" t="str"/>
      <x:c r="G877" s="16" t="str">
        <x:v>https://www.itl.nist.gov/div898/handbook/eda/section3/eda366.htm</x:v>
      </x:c>
      <x:c r="H877" s="14" t="str">
        <x:v>M10</x:v>
      </x:c>
      <x:c r="I877" s="14" t="str">
        <x:v>方法/软件项目</x:v>
      </x:c>
      <x:c r="J877" s="18" t="str"/>
      <x:c r="K877" s="14" t="str">
        <x:v>教材 / 说明书 / 网页</x:v>
      </x:c>
      <x:c r="L877" s="14" t="str">
        <x:v>选读</x:v>
      </x:c>
      <x:c r="M877" s="14" t="str">
        <x:v>以网页课程、在线章节或项目文档形式提供。</x:v>
      </x:c>
      <x:c r="N877" s="14" t="str">
        <x:v>打开官方入口，使用站点提供的下载功能；网页教程可继续在线使用。</x:v>
      </x:c>
      <x:c r="O877" s="14" t="str">
        <x:v>本条目的方法说明、参数、示例或诊断入口。</x:v>
      </x:c>
      <x:c r="P877" s="14" t="str"/>
      <x:c r="Q877" s="14" t="str"/>
      <x:c r="R877" s="17"/>
      <x:c r="S877" s="14" t="str"/>
      <x:c r="T877" s="14" t="str"/>
      <x:c r="U877" s="19" t="n">
        <x:v>46303</x:v>
      </x:c>
    </x:row>
    <x:row r="878" ht="68" customHeight="1">
      <x:c r="A878" s="14" t="str">
        <x:v>D-9EC96626</x:v>
      </x:c>
      <x:c r="B878" s="14" t="str">
        <x:v>在线阅读</x:v>
      </x:c>
      <x:c r="C878" s="14" t="str">
        <x:v>R语言教程 · 40 随机模拟</x:v>
      </x:c>
      <x:c r="D878" s="14" t="str">
        <x:v>中文</x:v>
      </x:c>
      <x:c r="E878" s="15" t="str">
        <x:v>未处理</x:v>
      </x:c>
      <x:c r="F878" s="15" t="str"/>
      <x:c r="G878" s="16" t="str">
        <x:v>https://math.pku.edu.cn/teachers/lidf/docs/Rbook/html/_Rbook/simulation.html</x:v>
      </x:c>
      <x:c r="H878" s="14" t="str">
        <x:v>M10</x:v>
      </x:c>
      <x:c r="I878" s="14" t="str">
        <x:v>李东风 · 北京大学</x:v>
      </x:c>
      <x:c r="J878" s="18" t="str"/>
      <x:c r="K878" s="14" t="str">
        <x:v>教材 / 说明书 / 网页</x:v>
      </x:c>
      <x:c r="L878" s="14" t="str">
        <x:v>选读</x:v>
      </x:c>
      <x:c r="M878" s="14" t="str">
        <x:v>以网页课程、在线章节或项目文档形式提供。</x:v>
      </x:c>
      <x:c r="N878" s="14" t="str">
        <x:v>打开官方入口，使用站点提供的下载功能；网页教程可继续在线使用。</x:v>
      </x:c>
      <x:c r="O878" s="14" t="str">
        <x:v>作者课程讲义，含 R 示例与章节练习。</x:v>
      </x:c>
      <x:c r="P878" s="14" t="str"/>
      <x:c r="Q878" s="14" t="str"/>
      <x:c r="R878" s="17"/>
      <x:c r="S878" s="14" t="str"/>
      <x:c r="T878" s="14" t="str"/>
      <x:c r="U878" s="19" t="n">
        <x:v>46303</x:v>
      </x:c>
    </x:row>
    <x:row r="879" ht="68" customHeight="1">
      <x:c r="A879" s="14" t="str">
        <x:v>D-A205E5CA</x:v>
      </x:c>
      <x:c r="B879" s="14" t="str">
        <x:v>在线阅读</x:v>
      </x:c>
      <x:c r="C879" s="14" t="str">
        <x:v>Seeing Theory：频率派推断（中文）</x:v>
      </x:c>
      <x:c r="D879" s="14" t="str">
        <x:v>中文</x:v>
      </x:c>
      <x:c r="E879" s="15" t="str">
        <x:v>未处理</x:v>
      </x:c>
      <x:c r="F879" s="15" t="str"/>
      <x:c r="G879" s="16" t="str">
        <x:v>https://seeing-theory.brown.edu/frequentist-inference/cn.html</x:v>
      </x:c>
      <x:c r="H879" s="14" t="str">
        <x:v>M12；M13</x:v>
      </x:c>
      <x:c r="I879" s="14" t="str">
        <x:v>方法/软件项目</x:v>
      </x:c>
      <x:c r="J879" s="18" t="str"/>
      <x:c r="K879" s="14" t="str">
        <x:v>教材 / 说明书 / 网页</x:v>
      </x:c>
      <x:c r="L879" s="14" t="str">
        <x:v>选读</x:v>
      </x:c>
      <x:c r="M879" s="14" t="str">
        <x:v>以网页课程、在线章节或项目文档形式提供。</x:v>
      </x:c>
      <x:c r="N879" s="14" t="str">
        <x:v>打开官方入口，使用站点提供的下载功能；网页教程可继续在线使用。</x:v>
      </x:c>
      <x:c r="O879" s="14" t="str">
        <x:v>本条目的方法说明、参数、示例或诊断入口。</x:v>
      </x:c>
      <x:c r="P879" s="14" t="str"/>
      <x:c r="Q879" s="14" t="str"/>
      <x:c r="R879" s="17"/>
      <x:c r="S879" s="14" t="str"/>
      <x:c r="T879" s="14" t="str"/>
      <x:c r="U879" s="19" t="n">
        <x:v>46303</x:v>
      </x:c>
    </x:row>
    <x:row r="880" ht="68" customHeight="1">
      <x:c r="A880" s="14" t="str">
        <x:v>D-E14F0838</x:v>
      </x:c>
      <x:c r="B880" s="14" t="str">
        <x:v>在线阅读</x:v>
      </x:c>
      <x:c r="C880" s="14" t="str">
        <x:v>统计计算 · 39 统计计算中的优化问题</x:v>
      </x:c>
      <x:c r="D880" s="14" t="str">
        <x:v>中文</x:v>
      </x:c>
      <x:c r="E880" s="15" t="str">
        <x:v>未处理</x:v>
      </x:c>
      <x:c r="F880" s="15" t="str"/>
      <x:c r="G880" s="16" t="str">
        <x:v>https://math.pku.edu.cn/teachers/lidf/docs/statcomp/html/_statcompbook/opt-stat.html</x:v>
      </x:c>
      <x:c r="H880" s="14" t="str">
        <x:v>M13；M14</x:v>
      </x:c>
      <x:c r="I880" s="14" t="str">
        <x:v>李东风 · 北京大学</x:v>
      </x:c>
      <x:c r="J880" s="18" t="str"/>
      <x:c r="K880" s="14" t="str">
        <x:v>教材 / 说明书 / 网页</x:v>
      </x:c>
      <x:c r="L880" s="14" t="str">
        <x:v>选读</x:v>
      </x:c>
      <x:c r="M880" s="14" t="str">
        <x:v>以网页课程、在线章节或项目文档形式提供。</x:v>
      </x:c>
      <x:c r="N880" s="14" t="str">
        <x:v>打开官方入口，使用站点提供的下载功能；网页教程可继续在线使用。</x:v>
      </x:c>
      <x:c r="O880" s="14" t="str">
        <x:v>作者公开讲义：算法、推导与 R 计算。</x:v>
      </x:c>
      <x:c r="P880" s="14" t="str"/>
      <x:c r="Q880" s="14" t="str"/>
      <x:c r="R880" s="17"/>
      <x:c r="S880" s="14" t="str"/>
      <x:c r="T880" s="14" t="str"/>
      <x:c r="U880" s="19" t="n">
        <x:v>46303</x:v>
      </x:c>
    </x:row>
    <x:row r="881" ht="68" customHeight="1">
      <x:c r="A881" s="14" t="str">
        <x:v>D-CC31C7EC</x:v>
      </x:c>
      <x:c r="B881" s="14" t="str">
        <x:v>在线阅读</x:v>
      </x:c>
      <x:c r="C881" s="14" t="str">
        <x:v>lme4 收敛问题官方说明</x:v>
      </x:c>
      <x:c r="D881" s="14" t="str">
        <x:v>英文</x:v>
      </x:c>
      <x:c r="E881" s="15" t="str">
        <x:v>未处理</x:v>
      </x:c>
      <x:c r="F881" s="15" t="str"/>
      <x:c r="G881" s="16" t="str">
        <x:v>https://cran.r-project.org/web/packages/lme4/vignettes/lmerperf.html</x:v>
      </x:c>
      <x:c r="H881" s="14" t="str">
        <x:v>M14</x:v>
      </x:c>
      <x:c r="I881" s="14" t="str">
        <x:v>方法/软件项目</x:v>
      </x:c>
      <x:c r="J881" s="18" t="str"/>
      <x:c r="K881" s="14" t="str">
        <x:v>教材 / 说明书 / 网页</x:v>
      </x:c>
      <x:c r="L881" s="14" t="str">
        <x:v>选读</x:v>
      </x:c>
      <x:c r="M881" s="14" t="str">
        <x:v>以网页课程、在线章节或项目文档形式提供。</x:v>
      </x:c>
      <x:c r="N881" s="14" t="str">
        <x:v>打开官方入口，使用站点提供的下载功能；网页教程可继续在线使用。</x:v>
      </x:c>
      <x:c r="O881" s="14" t="str">
        <x:v>本条目的方法说明、参数、示例或诊断入口。</x:v>
      </x:c>
      <x:c r="P881" s="14" t="str"/>
      <x:c r="Q881" s="14" t="str"/>
      <x:c r="R881" s="17"/>
      <x:c r="S881" s="14" t="str"/>
      <x:c r="T881" s="14" t="str"/>
      <x:c r="U881" s="19" t="n">
        <x:v>46303</x:v>
      </x:c>
    </x:row>
    <x:row r="882" ht="68" customHeight="1">
      <x:c r="A882" s="14" t="str">
        <x:v>D-2A8D985F</x:v>
      </x:c>
      <x:c r="B882" s="14" t="str">
        <x:v>在线阅读</x:v>
      </x:c>
      <x:c r="C882" s="14" t="str">
        <x:v>统计计算 · 35 最优化问题</x:v>
      </x:c>
      <x:c r="D882" s="14" t="str">
        <x:v>中文</x:v>
      </x:c>
      <x:c r="E882" s="15" t="str">
        <x:v>未处理</x:v>
      </x:c>
      <x:c r="F882" s="15" t="str"/>
      <x:c r="G882" s="16" t="str">
        <x:v>https://math.pku.edu.cn/teachers/lidf/docs/statcomp/html/_statcompbook/opt-intro.html</x:v>
      </x:c>
      <x:c r="H882" s="14" t="str">
        <x:v>M14</x:v>
      </x:c>
      <x:c r="I882" s="14" t="str">
        <x:v>李东风 · 北京大学</x:v>
      </x:c>
      <x:c r="J882" s="18" t="str"/>
      <x:c r="K882" s="14" t="str">
        <x:v>教材 / 说明书 / 网页</x:v>
      </x:c>
      <x:c r="L882" s="14" t="str">
        <x:v>选读</x:v>
      </x:c>
      <x:c r="M882" s="14" t="str">
        <x:v>以网页课程、在线章节或项目文档形式提供。</x:v>
      </x:c>
      <x:c r="N882" s="14" t="str">
        <x:v>打开官方入口，使用站点提供的下载功能；网页教程可继续在线使用。</x:v>
      </x:c>
      <x:c r="O882" s="14" t="str">
        <x:v>作者公开讲义：算法、推导与 R 计算。</x:v>
      </x:c>
      <x:c r="P882" s="14" t="str"/>
      <x:c r="Q882" s="14" t="str"/>
      <x:c r="R882" s="17"/>
      <x:c r="S882" s="14" t="str"/>
      <x:c r="T882" s="14" t="str"/>
      <x:c r="U882" s="19" t="n">
        <x:v>46303</x:v>
      </x:c>
    </x:row>
    <x:row r="883" ht="68" customHeight="1">
      <x:c r="A883" s="14" t="str">
        <x:v>D-B5277F0B</x:v>
      </x:c>
      <x:c r="B883" s="14" t="str">
        <x:v>在线阅读</x:v>
      </x:c>
      <x:c r="C883" s="14" t="str">
        <x:v>统计计算 · 37 无约束优化方法</x:v>
      </x:c>
      <x:c r="D883" s="14" t="str">
        <x:v>中文</x:v>
      </x:c>
      <x:c r="E883" s="15" t="str">
        <x:v>未处理</x:v>
      </x:c>
      <x:c r="F883" s="15" t="str"/>
      <x:c r="G883" s="16" t="str">
        <x:v>https://math.pku.edu.cn/teachers/lidf/docs/statcomp/html/_statcompbook/opt-uncons.html</x:v>
      </x:c>
      <x:c r="H883" s="14" t="str">
        <x:v>M14</x:v>
      </x:c>
      <x:c r="I883" s="14" t="str">
        <x:v>李东风 · 北京大学</x:v>
      </x:c>
      <x:c r="J883" s="18" t="str"/>
      <x:c r="K883" s="14" t="str">
        <x:v>教材 / 说明书 / 网页</x:v>
      </x:c>
      <x:c r="L883" s="14" t="str">
        <x:v>选读</x:v>
      </x:c>
      <x:c r="M883" s="14" t="str">
        <x:v>以网页课程、在线章节或项目文档形式提供。</x:v>
      </x:c>
      <x:c r="N883" s="14" t="str">
        <x:v>打开官方入口，使用站点提供的下载功能；网页教程可继续在线使用。</x:v>
      </x:c>
      <x:c r="O883" s="14" t="str">
        <x:v>作者公开讲义：算法、推导与 R 计算。</x:v>
      </x:c>
      <x:c r="P883" s="14" t="str"/>
      <x:c r="Q883" s="14" t="str"/>
      <x:c r="R883" s="17"/>
      <x:c r="S883" s="14" t="str"/>
      <x:c r="T883" s="14" t="str"/>
      <x:c r="U883" s="19" t="n">
        <x:v>46303</x:v>
      </x:c>
    </x:row>
    <x:row r="884" ht="68" customHeight="1">
      <x:c r="A884" s="14" t="str">
        <x:v>D-D2292BA1</x:v>
      </x:c>
      <x:c r="B884" s="14" t="str">
        <x:v>在线阅读</x:v>
      </x:c>
      <x:c r="C884" s="14" t="str">
        <x:v>naniar（缺失数据可视化）</x:v>
      </x:c>
      <x:c r="D884" s="14" t="str">
        <x:v>英文</x:v>
      </x:c>
      <x:c r="E884" s="15" t="str">
        <x:v>未处理</x:v>
      </x:c>
      <x:c r="F884" s="15" t="str"/>
      <x:c r="G884" s="16" t="str">
        <x:v>https://naniar.njtierney.com/</x:v>
      </x:c>
      <x:c r="H884" s="14" t="str">
        <x:v>N01</x:v>
      </x:c>
      <x:c r="I884" s="14" t="str">
        <x:v>方法/软件项目</x:v>
      </x:c>
      <x:c r="J884" s="18" t="str"/>
      <x:c r="K884" s="14" t="str">
        <x:v>教材 / 说明书 / 网页</x:v>
      </x:c>
      <x:c r="L884" s="14" t="str">
        <x:v>选读</x:v>
      </x:c>
      <x:c r="M884" s="14" t="str">
        <x:v>以网页课程、在线章节或项目文档形式提供。</x:v>
      </x:c>
      <x:c r="N884" s="14" t="str">
        <x:v>打开官方入口，使用站点提供的下载功能；网页教程可继续在线使用。</x:v>
      </x:c>
      <x:c r="O884" s="14" t="str">
        <x:v>本条目的方法说明、参数、示例或诊断入口。</x:v>
      </x:c>
      <x:c r="P884" s="14" t="str"/>
      <x:c r="Q884" s="14" t="str"/>
      <x:c r="R884" s="17"/>
      <x:c r="S884" s="14" t="str"/>
      <x:c r="T884" s="14" t="str"/>
      <x:c r="U884" s="19" t="n">
        <x:v>46303</x:v>
      </x:c>
    </x:row>
    <x:row r="885" ht="68" customHeight="1">
      <x:c r="A885" s="14" t="str">
        <x:v>D-D073F2F2</x:v>
      </x:c>
      <x:c r="B885" s="14" t="str">
        <x:v>在线阅读</x:v>
      </x:c>
      <x:c r="C885" s="14" t="str">
        <x:v>Quarto Guide</x:v>
      </x:c>
      <x:c r="D885" s="14" t="str">
        <x:v>英文</x:v>
      </x:c>
      <x:c r="E885" s="15" t="str">
        <x:v>未处理</x:v>
      </x:c>
      <x:c r="F885" s="15" t="str"/>
      <x:c r="G885" s="16" t="str">
        <x:v>https://quarto.org/docs/guide/</x:v>
      </x:c>
      <x:c r="H885" s="14" t="str">
        <x:v>N01；N02；N03；N04；N05；N06</x:v>
      </x:c>
      <x:c r="I885" s="14" t="str">
        <x:v>Quarto</x:v>
      </x:c>
      <x:c r="J885" s="18" t="str"/>
      <x:c r="K885" s="14" t="str">
        <x:v>教材 / 说明书 / 网页</x:v>
      </x:c>
      <x:c r="L885" s="14" t="str">
        <x:v>选读</x:v>
      </x:c>
      <x:c r="M885" s="14" t="str">
        <x:v>以网页课程、在线章节或项目文档形式提供。</x:v>
      </x:c>
      <x:c r="N885" s="14" t="str">
        <x:v>打开官方入口，使用站点提供的下载功能；网页教程可继续在线使用。</x:v>
      </x:c>
      <x:c r="O885" s="14" t="str">
        <x:v>把代码、结果、表图、引用和参数化分析写成可复现报告。</x:v>
      </x:c>
      <x:c r="P885" s="14" t="str"/>
      <x:c r="Q885" s="14" t="str"/>
      <x:c r="R885" s="17"/>
      <x:c r="S885" s="14" t="str"/>
      <x:c r="T885" s="14" t="str"/>
      <x:c r="U885" s="19" t="n">
        <x:v>46303</x:v>
      </x:c>
    </x:row>
    <x:row r="886" ht="68" customHeight="1">
      <x:c r="A886" s="14" t="str">
        <x:v>D-898F0C33</x:v>
      </x:c>
      <x:c r="B886" s="14" t="str">
        <x:v>在线阅读</x:v>
      </x:c>
      <x:c r="C886" s="14" t="str">
        <x:v>R for Data Science (2e)</x:v>
      </x:c>
      <x:c r="D886" s="14" t="str">
        <x:v>英文</x:v>
      </x:c>
      <x:c r="E886" s="15" t="str">
        <x:v>未处理</x:v>
      </x:c>
      <x:c r="F886" s="15" t="str"/>
      <x:c r="G886" s="16" t="str">
        <x:v>https://r4ds.hadley.nz/</x:v>
      </x:c>
      <x:c r="H886" s="14" t="str">
        <x:v>N01；N02；N03；N04；N05；N06</x:v>
      </x:c>
      <x:c r="I886" s="14" t="str">
        <x:v>Hadley Wickham et al.</x:v>
      </x:c>
      <x:c r="J886" s="18" t="str"/>
      <x:c r="K886" s="14" t="str">
        <x:v>教材 / 说明书 / 网页</x:v>
      </x:c>
      <x:c r="L886" s="14" t="str">
        <x:v>选读</x:v>
      </x:c>
      <x:c r="M886" s="14" t="str">
        <x:v>以网页课程、在线章节或项目文档形式提供。</x:v>
      </x:c>
      <x:c r="N886" s="14" t="str">
        <x:v>打开官方入口，使用站点提供的下载功能；网页教程可继续在线使用。</x:v>
      </x:c>
      <x:c r="O886" s="14" t="str">
        <x:v>导入、整理、变换、可视化、函数与可复现工作流。</x:v>
      </x:c>
      <x:c r="P886" s="14" t="str"/>
      <x:c r="Q886" s="14" t="str"/>
      <x:c r="R886" s="17"/>
      <x:c r="S886" s="14" t="str"/>
      <x:c r="T886" s="14" t="str"/>
      <x:c r="U886" s="19" t="n">
        <x:v>46303</x:v>
      </x:c>
    </x:row>
    <x:row r="887" ht="68" customHeight="1">
      <x:c r="A887" s="14" t="str">
        <x:v>D-AB0DACFB</x:v>
      </x:c>
      <x:c r="B887" s="14" t="str">
        <x:v>在线阅读</x:v>
      </x:c>
      <x:c r="C887" s="14" t="str">
        <x:v>Tidyverse style guide</x:v>
      </x:c>
      <x:c r="D887" s="14" t="str">
        <x:v>英文</x:v>
      </x:c>
      <x:c r="E887" s="15" t="str">
        <x:v>未处理</x:v>
      </x:c>
      <x:c r="F887" s="15" t="str"/>
      <x:c r="G887" s="16" t="str">
        <x:v>https://style.tidyverse.org/</x:v>
      </x:c>
      <x:c r="H887" s="14" t="str">
        <x:v>N01；N02；N03；N04；N05；N06</x:v>
      </x:c>
      <x:c r="I887" s="14" t="str">
        <x:v>tidyverse</x:v>
      </x:c>
      <x:c r="J887" s="18" t="str"/>
      <x:c r="K887" s="14" t="str">
        <x:v>教材 / 说明书 / 网页</x:v>
      </x:c>
      <x:c r="L887" s="14" t="str">
        <x:v>选读</x:v>
      </x:c>
      <x:c r="M887" s="14" t="str">
        <x:v>以网页课程、在线章节或项目文档形式提供。</x:v>
      </x:c>
      <x:c r="N887" s="14" t="str">
        <x:v>打开官方入口，使用站点提供的下载功能；网页教程可继续在线使用。</x:v>
      </x:c>
      <x:c r="O887" s="14" t="str">
        <x:v>命名、语法、函数、管道和项目代码的一致性规范。</x:v>
      </x:c>
      <x:c r="P887" s="14" t="str"/>
      <x:c r="Q887" s="14" t="str"/>
      <x:c r="R887" s="17"/>
      <x:c r="S887" s="14" t="str"/>
      <x:c r="T887" s="14" t="str"/>
      <x:c r="U887" s="19" t="n">
        <x:v>46303</x:v>
      </x:c>
    </x:row>
    <x:row r="888" ht="68" customHeight="1">
      <x:c r="A888" s="14" t="str">
        <x:v>D-66CC28CC</x:v>
      </x:c>
      <x:c r="B888" s="14" t="str">
        <x:v>在线阅读</x:v>
      </x:c>
      <x:c r="C888" s="14" t="str">
        <x:v>动手学深度学习 · 数据预处理</x:v>
      </x:c>
      <x:c r="D888" s="14" t="str">
        <x:v>中文</x:v>
      </x:c>
      <x:c r="E888" s="15" t="str">
        <x:v>未处理</x:v>
      </x:c>
      <x:c r="F888" s="15" t="str"/>
      <x:c r="G888" s="16" t="str">
        <x:v>https://zh-v2.d2l.ai/chapter_preliminaries/pandas.html</x:v>
      </x:c>
      <x:c r="H888" s="14" t="str">
        <x:v>N01；N02；N03；N09</x:v>
      </x:c>
      <x:c r="I888" s="14" t="str">
        <x:v>张阿斯顿、李沐等</x:v>
      </x:c>
      <x:c r="J888" s="18" t="str"/>
      <x:c r="K888" s="14" t="str">
        <x:v>教材 / 说明书 / 网页</x:v>
      </x:c>
      <x:c r="L888" s="14" t="str">
        <x:v>选读</x:v>
      </x:c>
      <x:c r="M888" s="14" t="str">
        <x:v>以网页课程、在线章节或项目文档形式提供。</x:v>
      </x:c>
      <x:c r="N888" s="14" t="str">
        <x:v>打开官方入口，使用站点提供的下载功能；网页教程可继续在线使用。</x:v>
      </x:c>
      <x:c r="O888" s="14" t="str">
        <x:v>作者开放教材章节，含代码和练习。</x:v>
      </x:c>
      <x:c r="P888" s="14" t="str"/>
      <x:c r="Q888" s="14" t="str"/>
      <x:c r="R888" s="17"/>
      <x:c r="S888" s="14" t="str"/>
      <x:c r="T888" s="14" t="str"/>
      <x:c r="U888" s="19" t="n">
        <x:v>46303</x:v>
      </x:c>
    </x:row>
    <x:row r="889" ht="68" customHeight="1">
      <x:c r="A889" s="14" t="str">
        <x:v>D-238AF11D</x:v>
      </x:c>
      <x:c r="B889" s="14" t="str">
        <x:v>在线阅读</x:v>
      </x:c>
      <x:c r="C889" s="14" t="str">
        <x:v>mice 包</x:v>
      </x:c>
      <x:c r="D889" s="14" t="str">
        <x:v>英文</x:v>
      </x:c>
      <x:c r="E889" s="15" t="str">
        <x:v>未处理</x:v>
      </x:c>
      <x:c r="F889" s="15" t="str"/>
      <x:c r="G889" s="16" t="str">
        <x:v>https://amices.org/mice/</x:v>
      </x:c>
      <x:c r="H889" s="14" t="str">
        <x:v>N02</x:v>
      </x:c>
      <x:c r="I889" s="14" t="str">
        <x:v>方法/软件项目</x:v>
      </x:c>
      <x:c r="J889" s="18" t="str"/>
      <x:c r="K889" s="14" t="str">
        <x:v>教材 / 说明书 / 网页</x:v>
      </x:c>
      <x:c r="L889" s="14" t="str">
        <x:v>选读</x:v>
      </x:c>
      <x:c r="M889" s="14" t="str">
        <x:v>以网页课程、在线章节或项目文档形式提供。</x:v>
      </x:c>
      <x:c r="N889" s="14" t="str">
        <x:v>打开官方入口，使用站点提供的下载功能；网页教程可继续在线使用。</x:v>
      </x:c>
      <x:c r="O889" s="14" t="str">
        <x:v>本条目的方法说明、参数、示例或诊断入口。</x:v>
      </x:c>
      <x:c r="P889" s="14" t="str"/>
      <x:c r="Q889" s="14" t="str"/>
      <x:c r="R889" s="17"/>
      <x:c r="S889" s="14" t="str"/>
      <x:c r="T889" s="14" t="str"/>
      <x:c r="U889" s="19" t="n">
        <x:v>46303</x:v>
      </x:c>
    </x:row>
    <x:row r="890" ht="68" customHeight="1">
      <x:c r="A890" s="14" t="str">
        <x:v>D-6CCA7851</x:v>
      </x:c>
      <x:c r="B890" s="14" t="str">
        <x:v>在线阅读</x:v>
      </x:c>
      <x:c r="C890" s="14" t="str">
        <x:v>robustbase（MCD 与稳健回归）</x:v>
      </x:c>
      <x:c r="D890" s="14" t="str">
        <x:v>英文</x:v>
      </x:c>
      <x:c r="E890" s="15" t="str">
        <x:v>未处理</x:v>
      </x:c>
      <x:c r="F890" s="15" t="str"/>
      <x:c r="G890" s="16" t="str">
        <x:v>https://cran.r-project.org/package=robustbase</x:v>
      </x:c>
      <x:c r="H890" s="14" t="str">
        <x:v>N03</x:v>
      </x:c>
      <x:c r="I890" s="14" t="str">
        <x:v>方法/软件项目</x:v>
      </x:c>
      <x:c r="J890" s="18" t="str"/>
      <x:c r="K890" s="14" t="str">
        <x:v>教材 / 说明书 / 网页</x:v>
      </x:c>
      <x:c r="L890" s="14" t="str">
        <x:v>选读</x:v>
      </x:c>
      <x:c r="M890" s="14" t="str">
        <x:v>以网页课程、在线章节或项目文档形式提供。</x:v>
      </x:c>
      <x:c r="N890" s="14" t="str">
        <x:v>打开官方入口，使用站点提供的下载功能；网页教程可继续在线使用。</x:v>
      </x:c>
      <x:c r="O890" s="14" t="str">
        <x:v>本条目的方法说明、参数、示例或诊断入口。</x:v>
      </x:c>
      <x:c r="P890" s="14" t="str"/>
      <x:c r="Q890" s="14" t="str"/>
      <x:c r="R890" s="17"/>
      <x:c r="S890" s="14" t="str"/>
      <x:c r="T890" s="14" t="str"/>
      <x:c r="U890" s="19" t="n">
        <x:v>46303</x:v>
      </x:c>
    </x:row>
    <x:row r="891" ht="68" customHeight="1">
      <x:c r="A891" s="14" t="str">
        <x:v>D-7716CCF1</x:v>
      </x:c>
      <x:c r="B891" s="14" t="str">
        <x:v>在线阅读</x:v>
      </x:c>
      <x:c r="C891" s="14" t="str">
        <x:v>R语言教程 · 29 探索性数据分析</x:v>
      </x:c>
      <x:c r="D891" s="14" t="str">
        <x:v>中文</x:v>
      </x:c>
      <x:c r="E891" s="15" t="str">
        <x:v>未处理</x:v>
      </x:c>
      <x:c r="F891" s="15" t="str"/>
      <x:c r="G891" s="16" t="str">
        <x:v>https://math.pku.edu.cn/teachers/lidf/docs/Rbook/html/_Rbook/stat-eda.html</x:v>
      </x:c>
      <x:c r="H891" s="14" t="str">
        <x:v>N03</x:v>
      </x:c>
      <x:c r="I891" s="14" t="str">
        <x:v>李东风 · 北京大学</x:v>
      </x:c>
      <x:c r="J891" s="18" t="str"/>
      <x:c r="K891" s="14" t="str">
        <x:v>教材 / 说明书 / 网页</x:v>
      </x:c>
      <x:c r="L891" s="14" t="str">
        <x:v>选读</x:v>
      </x:c>
      <x:c r="M891" s="14" t="str">
        <x:v>以网页课程、在线章节或项目文档形式提供。</x:v>
      </x:c>
      <x:c r="N891" s="14" t="str">
        <x:v>打开官方入口，使用站点提供的下载功能；网页教程可继续在线使用。</x:v>
      </x:c>
      <x:c r="O891" s="14" t="str">
        <x:v>作者课程讲义，含 R 示例与章节练习。</x:v>
      </x:c>
      <x:c r="P891" s="14" t="str"/>
      <x:c r="Q891" s="14" t="str"/>
      <x:c r="R891" s="17"/>
      <x:c r="S891" s="14" t="str"/>
      <x:c r="T891" s="14" t="str"/>
      <x:c r="U891" s="19" t="n">
        <x:v>46303</x:v>
      </x:c>
    </x:row>
    <x:row r="892" ht="68" customHeight="1">
      <x:c r="A892" s="14" t="str">
        <x:v>D-11458B6B</x:v>
      </x:c>
      <x:c r="B892" s="14" t="str">
        <x:v>在线阅读</x:v>
      </x:c>
      <x:c r="C892" s="14" t="str">
        <x:v>bestNormalize 包</x:v>
      </x:c>
      <x:c r="D892" s="14" t="str">
        <x:v>英文</x:v>
      </x:c>
      <x:c r="E892" s="15" t="str">
        <x:v>未处理</x:v>
      </x:c>
      <x:c r="F892" s="15" t="str"/>
      <x:c r="G892" s="16" t="str">
        <x:v>https://petersonr.github.io/bestNormalize/</x:v>
      </x:c>
      <x:c r="H892" s="14" t="str">
        <x:v>N04</x:v>
      </x:c>
      <x:c r="I892" s="14" t="str">
        <x:v>方法/软件项目</x:v>
      </x:c>
      <x:c r="J892" s="18" t="str"/>
      <x:c r="K892" s="14" t="str">
        <x:v>教材 / 说明书 / 网页</x:v>
      </x:c>
      <x:c r="L892" s="14" t="str">
        <x:v>选读</x:v>
      </x:c>
      <x:c r="M892" s="14" t="str">
        <x:v>以网页课程、在线章节或项目文档形式提供。</x:v>
      </x:c>
      <x:c r="N892" s="14" t="str">
        <x:v>打开官方入口，使用站点提供的下载功能；网页教程可继续在线使用。</x:v>
      </x:c>
      <x:c r="O892" s="14" t="str">
        <x:v>本条目的方法说明、参数、示例或诊断入口。</x:v>
      </x:c>
      <x:c r="P892" s="14" t="str"/>
      <x:c r="Q892" s="14" t="str"/>
      <x:c r="R892" s="17"/>
      <x:c r="S892" s="14" t="str"/>
      <x:c r="T892" s="14" t="str"/>
      <x:c r="U892" s="19" t="n">
        <x:v>46303</x:v>
      </x:c>
    </x:row>
    <x:row r="893" ht="68" customHeight="1">
      <x:c r="A893" s="14" t="str">
        <x:v>D-C191DDD3</x:v>
      </x:c>
      <x:c r="B893" s="14" t="str">
        <x:v>在线阅读</x:v>
      </x:c>
      <x:c r="C893" s="14" t="str">
        <x:v>betareg 包（比例数据）</x:v>
      </x:c>
      <x:c r="D893" s="14" t="str">
        <x:v>英文</x:v>
      </x:c>
      <x:c r="E893" s="15" t="str">
        <x:v>未处理</x:v>
      </x:c>
      <x:c r="F893" s="15" t="str"/>
      <x:c r="G893" s="16" t="str">
        <x:v>https://cran.r-project.org/package=betareg</x:v>
      </x:c>
      <x:c r="H893" s="14" t="str">
        <x:v>N04</x:v>
      </x:c>
      <x:c r="I893" s="14" t="str">
        <x:v>方法/软件项目</x:v>
      </x:c>
      <x:c r="J893" s="18" t="str"/>
      <x:c r="K893" s="14" t="str">
        <x:v>教材 / 说明书 / 网页</x:v>
      </x:c>
      <x:c r="L893" s="14" t="str">
        <x:v>选读</x:v>
      </x:c>
      <x:c r="M893" s="14" t="str">
        <x:v>以网页课程、在线章节或项目文档形式提供。</x:v>
      </x:c>
      <x:c r="N893" s="14" t="str">
        <x:v>打开官方入口，使用站点提供的下载功能；网页教程可继续在线使用。</x:v>
      </x:c>
      <x:c r="O893" s="14" t="str">
        <x:v>本条目的方法说明、参数、示例或诊断入口。</x:v>
      </x:c>
      <x:c r="P893" s="14" t="str"/>
      <x:c r="Q893" s="14" t="str"/>
      <x:c r="R893" s="17"/>
      <x:c r="S893" s="14" t="str"/>
      <x:c r="T893" s="14" t="str"/>
      <x:c r="U893" s="19" t="n">
        <x:v>46303</x:v>
      </x:c>
    </x:row>
    <x:row r="894" ht="68" customHeight="1">
      <x:c r="A894" s="14" t="str">
        <x:v>D-C11A33A2</x:v>
      </x:c>
      <x:c r="B894" s="14" t="str">
        <x:v>在线阅读</x:v>
      </x:c>
      <x:c r="C894" s="14" t="str">
        <x:v>MRP 案例研究（Gelman 团队）</x:v>
      </x:c>
      <x:c r="D894" s="14" t="str">
        <x:v>英文</x:v>
      </x:c>
      <x:c r="E894" s="15" t="str">
        <x:v>未处理</x:v>
      </x:c>
      <x:c r="F894" s="15" t="str"/>
      <x:c r="G894" s="16" t="str">
        <x:v>https://bookdown.org/jl5522/MRP-case-studies/</x:v>
      </x:c>
      <x:c r="H894" s="14" t="str">
        <x:v>N05</x:v>
      </x:c>
      <x:c r="I894" s="14" t="str">
        <x:v>方法/软件项目</x:v>
      </x:c>
      <x:c r="J894" s="18" t="str"/>
      <x:c r="K894" s="14" t="str">
        <x:v>教材 / 说明书 / 网页</x:v>
      </x:c>
      <x:c r="L894" s="14" t="str">
        <x:v>选读</x:v>
      </x:c>
      <x:c r="M894" s="14" t="str">
        <x:v>以网页课程、在线章节或项目文档形式提供。</x:v>
      </x:c>
      <x:c r="N894" s="14" t="str">
        <x:v>打开官方入口，使用站点提供的下载功能；网页教程可继续在线使用。</x:v>
      </x:c>
      <x:c r="O894" s="14" t="str">
        <x:v>本条目的方法说明、参数、示例或诊断入口。</x:v>
      </x:c>
      <x:c r="P894" s="14" t="str"/>
      <x:c r="Q894" s="14" t="str"/>
      <x:c r="R894" s="17"/>
      <x:c r="S894" s="14" t="str"/>
      <x:c r="T894" s="14" t="str"/>
      <x:c r="U894" s="19" t="n">
        <x:v>46303</x:v>
      </x:c>
    </x:row>
    <x:row r="895" ht="68" customHeight="1">
      <x:c r="A895" s="14" t="str">
        <x:v>D-A4655B7F</x:v>
      </x:c>
      <x:c r="B895" s="14" t="str">
        <x:v>在线阅读</x:v>
      </x:c>
      <x:c r="C895" s="14" t="str">
        <x:v>survey 包</x:v>
      </x:c>
      <x:c r="D895" s="14" t="str">
        <x:v>英文</x:v>
      </x:c>
      <x:c r="E895" s="15" t="str">
        <x:v>未处理</x:v>
      </x:c>
      <x:c r="F895" s="15" t="str"/>
      <x:c r="G895" s="16" t="str">
        <x:v>http://r-survey.r-forge.r-project.org/survey/</x:v>
      </x:c>
      <x:c r="H895" s="14" t="str">
        <x:v>N05</x:v>
      </x:c>
      <x:c r="I895" s="14" t="str">
        <x:v>方法/软件项目</x:v>
      </x:c>
      <x:c r="J895" s="18" t="str"/>
      <x:c r="K895" s="14" t="str">
        <x:v>教材 / 说明书 / 网页</x:v>
      </x:c>
      <x:c r="L895" s="14" t="str">
        <x:v>选读</x:v>
      </x:c>
      <x:c r="M895" s="14" t="str">
        <x:v>以网页课程、在线章节或项目文档形式提供。</x:v>
      </x:c>
      <x:c r="N895" s="14" t="str">
        <x:v>打开官方入口，使用站点提供的下载功能；网页教程可继续在线使用。</x:v>
      </x:c>
      <x:c r="O895" s="14" t="str">
        <x:v>本条目的方法说明、参数、示例或诊断入口。</x:v>
      </x:c>
      <x:c r="P895" s="14" t="str"/>
      <x:c r="Q895" s="14" t="str"/>
      <x:c r="R895" s="17"/>
      <x:c r="S895" s="14" t="str"/>
      <x:c r="T895" s="14" t="str"/>
      <x:c r="U895" s="19" t="n">
        <x:v>46303</x:v>
      </x:c>
    </x:row>
    <x:row r="896" ht="68" customHeight="1">
      <x:c r="A896" s="14" t="str">
        <x:v>D-D8189375</x:v>
      </x:c>
      <x:c r="B896" s="14" t="str">
        <x:v>在线阅读</x:v>
      </x:c>
      <x:c r="C896" s="14" t="str">
        <x:v>lavaan 单指标潜变量写法</x:v>
      </x:c>
      <x:c r="D896" s="14" t="str">
        <x:v>英文</x:v>
      </x:c>
      <x:c r="E896" s="15" t="str">
        <x:v>未处理</x:v>
      </x:c>
      <x:c r="F896" s="15" t="str"/>
      <x:c r="G896" s="16" t="str">
        <x:v>https://lavaan.ugent.be/tutorial/syntax2.html</x:v>
      </x:c>
      <x:c r="H896" s="14" t="str">
        <x:v>N06</x:v>
      </x:c>
      <x:c r="I896" s="14" t="str">
        <x:v>方法/软件项目</x:v>
      </x:c>
      <x:c r="J896" s="18" t="str"/>
      <x:c r="K896" s="14" t="str">
        <x:v>教材 / 说明书 / 网页</x:v>
      </x:c>
      <x:c r="L896" s="14" t="str">
        <x:v>选读</x:v>
      </x:c>
      <x:c r="M896" s="14" t="str">
        <x:v>以网页课程、在线章节或项目文档形式提供。</x:v>
      </x:c>
      <x:c r="N896" s="14" t="str">
        <x:v>打开官方入口，使用站点提供的下载功能；网页教程可继续在线使用。</x:v>
      </x:c>
      <x:c r="O896" s="14" t="str">
        <x:v>本条目的方法说明、参数、示例或诊断入口。</x:v>
      </x:c>
      <x:c r="P896" s="14" t="str"/>
      <x:c r="Q896" s="14" t="str"/>
      <x:c r="R896" s="17"/>
      <x:c r="S896" s="14" t="str"/>
      <x:c r="T896" s="14" t="str"/>
      <x:c r="U896" s="19" t="n">
        <x:v>46303</x:v>
      </x:c>
    </x:row>
    <x:row r="897" ht="68" customHeight="1">
      <x:c r="A897" s="14" t="str">
        <x:v>D-AA872B55</x:v>
      </x:c>
      <x:c r="B897" s="14" t="str">
        <x:v>在线阅读</x:v>
      </x:c>
      <x:c r="C897" s="14" t="str">
        <x:v>Westfall &amp; Yarkoni 原文与开放材料</x:v>
      </x:c>
      <x:c r="D897" s="14" t="str">
        <x:v>英文</x:v>
      </x:c>
      <x:c r="E897" s="15" t="str">
        <x:v>未处理</x:v>
      </x:c>
      <x:c r="F897" s="15" t="str"/>
      <x:c r="G897" s="16" t="str">
        <x:v>https://journals.plos.org/plosone/article?id=10.1371%2Fjournal.pone.0152719</x:v>
      </x:c>
      <x:c r="H897" s="14" t="str">
        <x:v>N06</x:v>
      </x:c>
      <x:c r="I897" s="14" t="str">
        <x:v>方法/软件项目</x:v>
      </x:c>
      <x:c r="J897" s="18" t="str"/>
      <x:c r="K897" s="14" t="str">
        <x:v>教材 / 说明书 / 网页</x:v>
      </x:c>
      <x:c r="L897" s="14" t="str">
        <x:v>选读</x:v>
      </x:c>
      <x:c r="M897" s="14" t="str">
        <x:v>以网页课程、在线章节或项目文档形式提供。</x:v>
      </x:c>
      <x:c r="N897" s="14" t="str">
        <x:v>打开官方入口，使用站点提供的下载功能；网页教程可继续在线使用。</x:v>
      </x:c>
      <x:c r="O897" s="14" t="str">
        <x:v>本条目的方法说明、参数、示例或诊断入口。</x:v>
      </x:c>
      <x:c r="P897" s="14" t="str"/>
      <x:c r="Q897" s="14" t="str"/>
      <x:c r="R897" s="17"/>
      <x:c r="S897" s="14" t="str"/>
      <x:c r="T897" s="14" t="str"/>
      <x:c r="U897" s="19" t="n">
        <x:v>46303</x:v>
      </x:c>
    </x:row>
    <x:row r="898" ht="68" customHeight="1">
      <x:c r="A898" s="14" t="str">
        <x:v>D-FB4EB2EC</x:v>
      </x:c>
      <x:c r="B898" s="14" t="str">
        <x:v>在线阅读</x:v>
      </x:c>
      <x:c r="C898" s="14" t="str">
        <x:v>Penn State STAT 506 · Sampling Theory and Methods</x:v>
      </x:c>
      <x:c r="D898" s="14" t="str">
        <x:v>英文</x:v>
      </x:c>
      <x:c r="E898" s="15" t="str">
        <x:v>未处理</x:v>
      </x:c>
      <x:c r="F898" s="15" t="str"/>
      <x:c r="G898" s="16" t="str">
        <x:v>https://online.stat.psu.edu/stat506/</x:v>
      </x:c>
      <x:c r="H898" s="14" t="str">
        <x:v>N07；N10；O06</x:v>
      </x:c>
      <x:c r="I898" s="14" t="str">
        <x:v>Penn State</x:v>
      </x:c>
      <x:c r="J898" s="18" t="str"/>
      <x:c r="K898" s="14" t="str">
        <x:v>教学</x:v>
      </x:c>
      <x:c r="L898" s="14" t="str">
        <x:v>选读</x:v>
      </x:c>
      <x:c r="M898" s="14" t="str">
        <x:v>以网页课程、在线章节或项目文档形式提供。</x:v>
      </x:c>
      <x:c r="N898" s="14" t="str">
        <x:v>打开官方入口，使用站点提供的下载功能；网页教程可继续在线使用。</x:v>
      </x:c>
      <x:c r="O898" s="14" t="str">
        <x:v>概率抽样、分层、整群与调查估计的课程章节。</x:v>
      </x:c>
      <x:c r="P898" s="14" t="str"/>
      <x:c r="Q898" s="14" t="str"/>
      <x:c r="R898" s="17"/>
      <x:c r="S898" s="14" t="str"/>
      <x:c r="T898" s="14" t="str"/>
      <x:c r="U898" s="19" t="n">
        <x:v>46303</x:v>
      </x:c>
    </x:row>
    <x:row r="899" ht="68" customHeight="1">
      <x:c r="A899" s="14" t="str">
        <x:v>D-595E1700</x:v>
      </x:c>
      <x:c r="B899" s="14" t="str">
        <x:v>在线阅读</x:v>
      </x:c>
      <x:c r="C899" s="14" t="str">
        <x:v>mice · Overview</x:v>
      </x:c>
      <x:c r="D899" s="14" t="str">
        <x:v>英文</x:v>
      </x:c>
      <x:c r="E899" s="15" t="str">
        <x:v>未处理</x:v>
      </x:c>
      <x:c r="F899" s="15" t="str"/>
      <x:c r="G899" s="16" t="str">
        <x:v>https://amices.org/mice/articles/overview.html</x:v>
      </x:c>
      <x:c r="H899" s="14" t="str">
        <x:v>N09</x:v>
      </x:c>
      <x:c r="I899" s="14" t="str">
        <x:v>Stef van Buuren / mice 团队</x:v>
      </x:c>
      <x:c r="J899" s="18" t="str"/>
      <x:c r="K899" s="14" t="str">
        <x:v>教学</x:v>
      </x:c>
      <x:c r="L899" s="14" t="str">
        <x:v>选读</x:v>
      </x:c>
      <x:c r="M899" s="14" t="str">
        <x:v>以网页课程、在线章节或项目文档形式提供。</x:v>
      </x:c>
      <x:c r="N899" s="14" t="str">
        <x:v>打开官方入口，使用站点提供的下载功能；网页教程可继续在线使用。</x:v>
      </x:c>
      <x:c r="O899" s="14" t="str">
        <x:v>建立传统链式插补基线，再评估神经插补是否改善目标估计。</x:v>
      </x:c>
      <x:c r="P899" s="14" t="str"/>
      <x:c r="Q899" s="14" t="str"/>
      <x:c r="R899" s="17"/>
      <x:c r="S899" s="14" t="str"/>
      <x:c r="T899" s="14" t="str"/>
      <x:c r="U899" s="19" t="n">
        <x:v>46303</x:v>
      </x:c>
    </x:row>
    <x:row r="900" ht="68" customHeight="1">
      <x:c r="A900" s="14" t="str">
        <x:v>D-2DC8EA2B</x:v>
      </x:c>
      <x:c r="B900" s="14" t="str">
        <x:v>在线阅读</x:v>
      </x:c>
      <x:c r="C900" s="14" t="str">
        <x:v>GeoDa Workbook · Local Spatial Autocorrelation (1)</x:v>
      </x:c>
      <x:c r="D900" s="14" t="str">
        <x:v>英文</x:v>
      </x:c>
      <x:c r="E900" s="15" t="str">
        <x:v>未处理</x:v>
      </x:c>
      <x:c r="F900" s="15" t="str"/>
      <x:c r="G900" s="16" t="str">
        <x:v>https://geodacenter.github.io/workbook/6a_local_auto/lab6a.html</x:v>
      </x:c>
      <x:c r="H900" s="14" t="str">
        <x:v>O01；O02</x:v>
      </x:c>
      <x:c r="I900" s="14" t="str">
        <x:v>Luc Anselin / GeoDa Center</x:v>
      </x:c>
      <x:c r="J900" s="18" t="str"/>
      <x:c r="K900" s="14" t="str">
        <x:v>教学</x:v>
      </x:c>
      <x:c r="L900" s="14" t="str">
        <x:v>选读</x:v>
      </x:c>
      <x:c r="M900" s="14" t="str">
        <x:v>以网页课程、在线章节或项目文档形式提供。</x:v>
      </x:c>
      <x:c r="N900" s="14" t="str">
        <x:v>打开官方入口，使用站点提供的下载功能；网页教程可继续在线使用。</x:v>
      </x:c>
      <x:c r="O900" s="14" t="str">
        <x:v>从局部 Moran 图、置换检验到多重比较解释。</x:v>
      </x:c>
      <x:c r="P900" s="14" t="str"/>
      <x:c r="Q900" s="14" t="str"/>
      <x:c r="R900" s="17"/>
      <x:c r="S900" s="14" t="str"/>
      <x:c r="T900" s="14" t="str"/>
      <x:c r="U900" s="19" t="n">
        <x:v>46303</x:v>
      </x:c>
    </x:row>
    <x:row r="901" ht="68" customHeight="1">
      <x:c r="A901" s="14" t="str">
        <x:v>D-B118C420</x:v>
      </x:c>
      <x:c r="B901" s="14" t="str">
        <x:v>在线阅读</x:v>
      </x:c>
      <x:c r="C901" s="14" t="str">
        <x:v>spatialreg · Impacts in spatial lag models</x:v>
      </x:c>
      <x:c r="D901" s="14" t="str">
        <x:v>英文</x:v>
      </x:c>
      <x:c r="E901" s="15" t="str">
        <x:v>未处理</x:v>
      </x:c>
      <x:c r="F901" s="15" t="str"/>
      <x:c r="G901" s="16" t="str">
        <x:v>https://r-spatial.github.io/spatialreg/reference/impacts.html</x:v>
      </x:c>
      <x:c r="H901" s="14" t="str">
        <x:v>O02</x:v>
      </x:c>
      <x:c r="I901" s="14" t="str">
        <x:v>spatialreg 开发者</x:v>
      </x:c>
      <x:c r="J901" s="18" t="str"/>
      <x:c r="K901" s="14" t="str">
        <x:v>教学</x:v>
      </x:c>
      <x:c r="L901" s="14" t="str">
        <x:v>选读</x:v>
      </x:c>
      <x:c r="M901" s="14" t="str">
        <x:v>以网页课程、在线章节或项目文档形式提供。</x:v>
      </x:c>
      <x:c r="N901" s="14" t="str">
        <x:v>打开官方入口，使用站点提供的下载功能；网页教程可继续在线使用。</x:v>
      </x:c>
      <x:c r="O901" s="14" t="str">
        <x:v>区分回归系数与含反馈的直接、间接、总效应。</x:v>
      </x:c>
      <x:c r="P901" s="14" t="str"/>
      <x:c r="Q901" s="14" t="str"/>
      <x:c r="R901" s="17"/>
      <x:c r="S901" s="14" t="str"/>
      <x:c r="T901" s="14" t="str"/>
      <x:c r="U901" s="19" t="n">
        <x:v>46303</x:v>
      </x:c>
    </x:row>
    <x:row r="902" ht="68" customHeight="1">
      <x:c r="A902" s="14" t="str">
        <x:v>D-BBF7A106</x:v>
      </x:c>
      <x:c r="B902" s="14" t="str">
        <x:v>已内置</x:v>
      </x:c>
      <x:c r="C902" s="14" t="str">
        <x:v>Beyond Bar and Line Graphs: Time for a New Data Presentation Paradigm</x:v>
      </x:c>
      <x:c r="D902" s="14" t="str">
        <x:v>英文</x:v>
      </x:c>
      <x:c r="E902" s="15" t="str">
        <x:v>未处理</x:v>
      </x:c>
      <x:c r="F902" s="15" t="str"/>
      <x:c r="G902" s="16" t="str">
        <x:v>https://doi.org/10.1371/journal.pbio.1002128</x:v>
      </x:c>
      <x:c r="H902" s="14" t="str">
        <x:v>A01</x:v>
      </x:c>
      <x:c r="I902" s="14" t="str">
        <x:v>Tracey L. Weissgerber; Natasa M. Milic; Stacey J. Winham; Vesna D. Garovic</x:v>
      </x:c>
      <x:c r="J902" s="18" t="n">
        <x:v>2015</x:v>
      </x:c>
      <x:c r="K902" s="14" t="str">
        <x:v>研究论文 / 教程</x:v>
      </x:c>
      <x:c r="L902" s="14" t="str">
        <x:v>优先</x:v>
      </x:c>
      <x:c r="M902" s="14" t="str">
        <x:v>完整 PDF 已验证，共 10 页。</x:v>
      </x:c>
      <x:c r="N902" s="14" t="str">
        <x:v>已随应用内置，可直接打开；无需重复下载。</x:v>
      </x:c>
      <x:c r="O902" s="14" t="str">
        <x:v>用图形看清分布。比较散点、箱线和柱状摘要，检查原始变异是否被隐藏。</x:v>
      </x:c>
      <x:c r="P902" s="14" t="str">
        <x:v>10.1371/journal.pbio.1002128</x:v>
      </x:c>
      <x:c r="Q902" s="14" t="str">
        <x:v>books/paper-bbf7a10670.pdf</x:v>
      </x:c>
      <x:c r="R902" s="17" t="n">
        <x:v>0.35237598419189453</x:v>
      </x:c>
      <x:c r="S902" s="14" t="str">
        <x:v>7207d698b755ec973540b869e750e57e3f3f8caea3b2f64a0f8714a229d1ae76</x:v>
      </x:c>
      <x:c r="T902" s="14" t="str">
        <x:v>开放获取原文；保留原版权页，具体许可条款见原文及期刊来源页</x:v>
      </x:c>
      <x:c r="U902" s="19" t="n">
        <x:v>46303</x:v>
      </x:c>
    </x:row>
    <x:row r="903" ht="68" customHeight="1">
      <x:c r="A903" s="14" t="str">
        <x:v>D-29ECD19D</x:v>
      </x:c>
      <x:c r="B903" s="14" t="str">
        <x:v>已内置</x:v>
      </x:c>
      <x:c r="C903" s="14" t="str">
        <x:v>Learning Statistics with R · 用 R 学统计</x:v>
      </x:c>
      <x:c r="D903" s="14" t="str">
        <x:v>英文</x:v>
      </x:c>
      <x:c r="E903" s="15" t="str">
        <x:v>未处理</x:v>
      </x:c>
      <x:c r="F903" s="15" t="str"/>
      <x:c r="G903" s="16" t="str">
        <x:v>https://old.learningstatisticswithr.com/lsr-0.6.pdf</x:v>
      </x:c>
      <x:c r="H903" s="14" t="str">
        <x:v>A01；A02；A03；A04；A05；A07；A08；A12；A13；B02；C01；C02；C04；D01；D02；D03；K01；K04</x:v>
      </x:c>
      <x:c r="I903" s="14" t="str">
        <x:v>Danielle Navarro</x:v>
      </x:c>
      <x:c r="J903" s="18" t="str"/>
      <x:c r="K903" s="14" t="str">
        <x:v>教材</x:v>
      </x:c>
      <x:c r="L903" s="14" t="str">
        <x:v>优先</x:v>
      </x:c>
      <x:c r="M903" s="14" t="str">
        <x:v>完整 PDF 已验证，共 613 页。</x:v>
      </x:c>
      <x:c r="N903" s="14" t="str">
        <x:v>已随应用内置，可直接打开；无需重复下载。</x:v>
      </x:c>
      <x:c r="O903" s="14" t="str">
        <x:v>面向心理学初学者。先读第 1、4、5 章；t 检验看第 13 章，回归看第 15 章。</x:v>
      </x:c>
      <x:c r="P903" s="14" t="str"/>
      <x:c r="Q903" s="14" t="str">
        <x:v>books/lsr.pdf</x:v>
      </x:c>
      <x:c r="R903" s="17" t="n">
        <x:v>7.267573356628418</x:v>
      </x:c>
      <x:c r="S903" s="14" t="str">
        <x:v>ceb73307b5b0d310120e3e1470917b80189afa11bec3487f3910c8b1fa5bfe16</x:v>
      </x:c>
      <x:c r="T903" s="14" t="str">
        <x:v>CC BY-SA 4.0；保留作者、版权页与许可</x:v>
      </x:c>
      <x:c r="U903" s="19" t="n">
        <x:v>46303</x:v>
      </x:c>
    </x:row>
    <x:row r="904" ht="68" customHeight="1">
      <x:c r="A904" s="14" t="str">
        <x:v>D-97F99248</x:v>
      </x:c>
      <x:c r="B904" s="14" t="str">
        <x:v>已内置</x:v>
      </x:c>
      <x:c r="C904" s="14" t="str">
        <x:v>OpenIntro Statistics · 统计学导论</x:v>
      </x:c>
      <x:c r="D904" s="14" t="str">
        <x:v>英文</x:v>
      </x:c>
      <x:c r="E904" s="15" t="str">
        <x:v>未处理</x:v>
      </x:c>
      <x:c r="F904" s="15" t="str"/>
      <x:c r="G904" s="16" t="str">
        <x:v>https://www.openintro.org/go/?id=os4_for_screen_reader</x:v>
      </x:c>
      <x:c r="H904" s="14" t="str">
        <x:v>A01；A03；A04；A07；A13；C01；C02；C07；D01；D02；D03；M08；M09；M10；M11</x:v>
      </x:c>
      <x:c r="I904" s="14" t="str">
        <x:v>David Diez, Mine Çetinkaya-Rundel &amp; Christopher Barr</x:v>
      </x:c>
      <x:c r="J904" s="18" t="str"/>
      <x:c r="K904" s="14" t="str">
        <x:v>教材</x:v>
      </x:c>
      <x:c r="L904" s="14" t="str">
        <x:v>优先</x:v>
      </x:c>
      <x:c r="M904" s="14" t="str">
        <x:v>完整 PDF 已验证，共 465 页。</x:v>
      </x:c>
      <x:c r="N904" s="14" t="str">
        <x:v>已随应用内置，可直接打开；无需重复下载。</x:v>
      </x:c>
      <x:c r="O904" s="14" t="str">
        <x:v>从第 1 章的数据与研究设计开始，再进入推断与回归。</x:v>
      </x:c>
      <x:c r="P904" s="14" t="str"/>
      <x:c r="Q904" s="14" t="str">
        <x:v>books/openintro.pdf</x:v>
      </x:c>
      <x:c r="R904" s="17" t="n">
        <x:v>19.97704029083252</x:v>
      </x:c>
      <x:c r="S904" s="14" t="str">
        <x:v>e261e4aea0eb4f0fd2b9d340604918ee7145e1a98e00313575c88977b671cb40</x:v>
      </x:c>
      <x:c r="T904" s="14" t="str">
        <x:v>CC BY-SA 3.0（以书内版权页为准）</x:v>
      </x:c>
      <x:c r="U904" s="19" t="n">
        <x:v>46303</x:v>
      </x:c>
    </x:row>
    <x:row r="905" ht="68" customHeight="1">
      <x:c r="A905" s="14" t="str">
        <x:v>D-D804A1FC</x:v>
      </x:c>
      <x:c r="B905" s="14" t="str">
        <x:v>已内置</x:v>
      </x:c>
      <x:c r="C905" s="14" t="str">
        <x:v>OpenIntro Statistics 中文译稿 · 第 1–6 章</x:v>
      </x:c>
      <x:c r="D905" s="14" t="str">
        <x:v>中文</x:v>
      </x:c>
      <x:c r="E905" s="15" t="str">
        <x:v>未处理</x:v>
      </x:c>
      <x:c r="F905" s="15" t="str"/>
      <x:c r="G905" s="16" t="str">
        <x:v>https://www.openintro.org/go/?id=os4_chinese_translation_ch1-6</x:v>
      </x:c>
      <x:c r="H905" s="14" t="str">
        <x:v>A01；A03；A04；A07；A13；C01；C07；M08；M09；M10；M11</x:v>
      </x:c>
      <x:c r="I905" s="14" t="str">
        <x:v>原作者 David Diez 等；译者 Shiyao Wang、Xueqi Li</x:v>
      </x:c>
      <x:c r="J905" s="18" t="str"/>
      <x:c r="K905" s="14" t="str">
        <x:v>教材</x:v>
      </x:c>
      <x:c r="L905" s="14" t="str">
        <x:v>优先</x:v>
      </x:c>
      <x:c r="M905" s="14" t="str">
        <x:v>完整 PDF 已验证，共 225 页。</x:v>
      </x:c>
      <x:c r="N905" s="14" t="str">
        <x:v>已随应用内置，可直接打开；无需重复下载。</x:v>
      </x:c>
      <x:c r="O905" s="14" t="str">
        <x:v>中文译稿只覆盖第 1–6 章，并非完整中文全书；可对照英文原书学习。</x:v>
      </x:c>
      <x:c r="P905" s="14" t="str"/>
      <x:c r="Q905" s="14" t="str">
        <x:v>books/openintro-zh.pdf</x:v>
      </x:c>
      <x:c r="R905" s="17" t="n">
        <x:v>10.671159744262695</x:v>
      </x:c>
      <x:c r="S905" s="14" t="str">
        <x:v>5dcfc348c477a14c8bee6cb30090d166aa8f4d9a28669ecd25d160ae94c5d742</x:v>
      </x:c>
      <x:c r="T905" s="14" t="str">
        <x:v>OpenIntro 官方列出的中文译稿；许可与版本以文件版权页为准</x:v>
      </x:c>
      <x:c r="U905" s="19" t="n">
        <x:v>46303</x:v>
      </x:c>
    </x:row>
    <x:row r="906" ht="68" customHeight="1">
      <x:c r="A906" s="14" t="str">
        <x:v>D-92B80D2A</x:v>
      </x:c>
      <x:c r="B906" s="14" t="str">
        <x:v>已内置</x:v>
      </x:c>
      <x:c r="C906" s="14" t="str">
        <x:v>R 语言入门 · An Introduction to R</x:v>
      </x:c>
      <x:c r="D906" s="14" t="str">
        <x:v>英文</x:v>
      </x:c>
      <x:c r="E906" s="15" t="str">
        <x:v>未处理</x:v>
      </x:c>
      <x:c r="F906" s="15" t="str"/>
      <x:c r="G906" s="16" t="str">
        <x:v>https://cran.r-project.org/doc/manuals/r-release/R-intro.pdf</x:v>
      </x:c>
      <x:c r="H906" s="14" t="str">
        <x:v>A01；A03；A04；C01；C02；D01；D02；D03；I01；I02；M01；M02；M03；M04；M05；M08；M09；M10</x:v>
      </x:c>
      <x:c r="I906" s="14" t="str">
        <x:v>W. N. Venables, D. M. Smith &amp; R Core Team</x:v>
      </x:c>
      <x:c r="J906" s="18" t="str"/>
      <x:c r="K906" s="14" t="str">
        <x:v>教材</x:v>
      </x:c>
      <x:c r="L906" s="14" t="str">
        <x:v>优先</x:v>
      </x:c>
      <x:c r="M906" s="14" t="str">
        <x:v>完整 PDF 已验证，共 103 页。</x:v>
      </x:c>
      <x:c r="N906" s="14" t="str">
        <x:v>已随应用内置，可直接打开；无需重复下载。</x:v>
      </x:c>
      <x:c r="O906" s="14" t="str">
        <x:v>先读第 1–2 章，尝试输入一个向量；再按当前方法跳到统计模型章节。</x:v>
      </x:c>
      <x:c r="P906" s="14" t="str"/>
      <x:c r="Q906" s="14" t="str">
        <x:v>books/r-intro.pdf</x:v>
      </x:c>
      <x:c r="R906" s="17" t="n">
        <x:v>0.5702238082885742</x:v>
      </x:c>
      <x:c r="S906" s="14" t="str">
        <x:v>d6e7cea1ef4460eedcf88fe9ce1e9e05c5dea6decf118f257a39a18ed6d0ec6f</x:v>
      </x:c>
      <x:c r="T906" s="14" t="str">
        <x:v>手册版权页明确允许保留声明的复制、再分发和翻译</x:v>
      </x:c>
      <x:c r="U906" s="19" t="n">
        <x:v>46303</x:v>
      </x:c>
    </x:row>
    <x:row r="907" ht="68" customHeight="1">
      <x:c r="A907" s="14" t="str">
        <x:v>D-6B3CC674</x:v>
      </x:c>
      <x:c r="B907" s="14" t="str">
        <x:v>已内置</x:v>
      </x:c>
      <x:c r="C907" s="14" t="str">
        <x:v>Calculating and reporting effect sizes to facilitate cumulative science: a practical primer for t-tests and ANOVAs</x:v>
      </x:c>
      <x:c r="D907" s="14" t="str">
        <x:v>英文</x:v>
      </x:c>
      <x:c r="E907" s="15" t="str">
        <x:v>未处理</x:v>
      </x:c>
      <x:c r="F907" s="15" t="str"/>
      <x:c r="G907" s="16" t="str">
        <x:v>https://doi.org/10.3389/fpsyg.2013.00863</x:v>
      </x:c>
      <x:c r="H907" s="14" t="str">
        <x:v>A05；A06；C01</x:v>
      </x:c>
      <x:c r="I907" s="14" t="str">
        <x:v>Lakens, Daniel</x:v>
      </x:c>
      <x:c r="J907" s="18" t="n">
        <x:v>2013</x:v>
      </x:c>
      <x:c r="K907" s="14" t="str">
        <x:v>研究论文 / 教程</x:v>
      </x:c>
      <x:c r="L907" s="14" t="str">
        <x:v>优先</x:v>
      </x:c>
      <x:c r="M907" s="14" t="str">
        <x:v>完整 PDF 已验证，共 12 页。</x:v>
      </x:c>
      <x:c r="N907" s="14" t="str">
        <x:v>已随应用内置，可直接打开；无需重复下载。</x:v>
      </x:c>
      <x:c r="O907" s="14" t="str">
        <x:v>效应量入门。先区分独立、配对和方差分析设计，再决定分母与报告方式。</x:v>
      </x:c>
      <x:c r="P907" s="14" t="str">
        <x:v>10.3389/fpsyg.2013.00863</x:v>
      </x:c>
      <x:c r="Q907" s="14" t="str">
        <x:v>books/paper-6b3cc674ea.pdf</x:v>
      </x:c>
      <x:c r="R907" s="17" t="n">
        <x:v>0.49681568145751953</x:v>
      </x:c>
      <x:c r="S907" s="14" t="str">
        <x:v>8da573ed2a5a47239420ec21c0390ea9e48646b2285f2998c7be2bb59605f0c0</x:v>
      </x:c>
      <x:c r="T907" s="14" t="str">
        <x:v>开放获取原文；保留原版权页，具体许可条款见原文及期刊来源页</x:v>
      </x:c>
      <x:c r="U907" s="19" t="n">
        <x:v>46303</x:v>
      </x:c>
    </x:row>
    <x:row r="908" ht="68" customHeight="1">
      <x:c r="A908" s="14" t="str">
        <x:v>D-351BE630</x:v>
      </x:c>
      <x:c r="B908" s="14" t="str">
        <x:v>已内置</x:v>
      </x:c>
      <x:c r="C908" s="14" t="str">
        <x:v>pwr · 统计功效分析参考手册</x:v>
      </x:c>
      <x:c r="D908" s="14" t="str">
        <x:v>英文</x:v>
      </x:c>
      <x:c r="E908" s="15" t="str">
        <x:v>未处理</x:v>
      </x:c>
      <x:c r="F908" s="15" t="str"/>
      <x:c r="G908" s="16" t="str">
        <x:v>https://cran.r-project.org/web/packages/pwr/pwr.pdf</x:v>
      </x:c>
      <x:c r="H908" s="14" t="str">
        <x:v>A07</x:v>
      </x:c>
      <x:c r="I908" s="14" t="str">
        <x:v>Stéphane Champely 等</x:v>
      </x:c>
      <x:c r="J908" s="18" t="str"/>
      <x:c r="K908" s="14" t="str">
        <x:v>R 说明书</x:v>
      </x:c>
      <x:c r="L908" s="14" t="str">
        <x:v>优先</x:v>
      </x:c>
      <x:c r="M908" s="14" t="str">
        <x:v>完整 PDF 已验证，共 22 页。</x:v>
      </x:c>
      <x:c r="N908" s="14" t="str">
        <x:v>已随应用内置，可直接打开；无需重复下载。</x:v>
      </x:c>
      <x:c r="O908" s="14" t="str">
        <x:v>先查 Description 与 Examples，结合方法卡的中文步骤阅读；函数参数表用于查阅。</x:v>
      </x:c>
      <x:c r="P908" s="14" t="str"/>
      <x:c r="Q908" s="14" t="str">
        <x:v>books/manual-pwr.pdf</x:v>
      </x:c>
      <x:c r="R908" s="17" t="n">
        <x:v>0.1201019287109375</x:v>
      </x:c>
      <x:c r="S908" s="14" t="str">
        <x:v>98ccde89d9c4d25ccfab4225764439d17796d41c2dcdea884092c90ae845dcb9</x:v>
      </x:c>
      <x:c r="T908" s="14" t="str">
        <x:v>CRAN 包参考手册；License 字段与原始版权信息保留在文件内</x:v>
      </x:c>
      <x:c r="U908" s="19" t="n">
        <x:v>46303</x:v>
      </x:c>
    </x:row>
    <x:row r="909" ht="68" customHeight="1">
      <x:c r="A909" s="14" t="str">
        <x:v>D-FFA8A913</x:v>
      </x:c>
      <x:c r="B909" s="14" t="str">
        <x:v>已内置</x:v>
      </x:c>
      <x:c r="C909" s="14" t="str">
        <x:v>boot · 自助法与重抽样参考手册</x:v>
      </x:c>
      <x:c r="D909" s="14" t="str">
        <x:v>英文</x:v>
      </x:c>
      <x:c r="E909" s="15" t="str">
        <x:v>未处理</x:v>
      </x:c>
      <x:c r="F909" s="15" t="str"/>
      <x:c r="G909" s="16" t="str">
        <x:v>https://cran.r-project.org/web/packages/boot/boot.pdf</x:v>
      </x:c>
      <x:c r="H909" s="14" t="str">
        <x:v>A09；A10</x:v>
      </x:c>
      <x:c r="I909" s="14" t="str">
        <x:v>Angelo Canty &amp; Brian Ripley</x:v>
      </x:c>
      <x:c r="J909" s="18" t="str"/>
      <x:c r="K909" s="14" t="str">
        <x:v>R 说明书</x:v>
      </x:c>
      <x:c r="L909" s="14" t="str">
        <x:v>优先</x:v>
      </x:c>
      <x:c r="M909" s="14" t="str">
        <x:v>完整 PDF 已验证，共 117 页。</x:v>
      </x:c>
      <x:c r="N909" s="14" t="str">
        <x:v>已随应用内置，可直接打开；无需重复下载。</x:v>
      </x:c>
      <x:c r="O909" s="14" t="str">
        <x:v>先查 Description 与 Examples，结合方法卡的中文步骤阅读；函数参数表用于查阅。</x:v>
      </x:c>
      <x:c r="P909" s="14" t="str"/>
      <x:c r="Q909" s="14" t="str">
        <x:v>books/manual-boot.pdf</x:v>
      </x:c>
      <x:c r="R909" s="17" t="n">
        <x:v>0.38831520080566406</x:v>
      </x:c>
      <x:c r="S909" s="14" t="str">
        <x:v>abb662b197b3e8143eb9d35b22151b8b34f2a2707d8486274fac8feb56cffdba</x:v>
      </x:c>
      <x:c r="T909" s="14" t="str">
        <x:v>CRAN 包参考手册；License 字段与原始版权信息保留在文件内</x:v>
      </x:c>
      <x:c r="U909" s="19" t="n">
        <x:v>46303</x:v>
      </x:c>
    </x:row>
    <x:row r="910" ht="68" customHeight="1">
      <x:c r="A910" s="14" t="str">
        <x:v>D-A4FC3ACF</x:v>
      </x:c>
      <x:c r="B910" s="14" t="str">
        <x:v>已内置</x:v>
      </x:c>
      <x:c r="C910" s="14" t="str">
        <x:v>Why Psychologists Should by Default Use Welch’s t-test Instead of Student’s t-test</x:v>
      </x:c>
      <x:c r="D910" s="14" t="str">
        <x:v>英文</x:v>
      </x:c>
      <x:c r="E910" s="15" t="str">
        <x:v>未处理</x:v>
      </x:c>
      <x:c r="F910" s="15" t="str"/>
      <x:c r="G910" s="16" t="str">
        <x:v>https://doi.org/10.5334/irsp.82</x:v>
      </x:c>
      <x:c r="H910" s="14" t="str">
        <x:v>A12；C01</x:v>
      </x:c>
      <x:c r="I910" s="14" t="str">
        <x:v>Delacre, Marie; Lakens, Daniël; Leys, Christophe</x:v>
      </x:c>
      <x:c r="J910" s="18" t="n">
        <x:v>2017</x:v>
      </x:c>
      <x:c r="K910" s="14" t="str">
        <x:v>研究论文 / 教程</x:v>
      </x:c>
      <x:c r="L910" s="14" t="str">
        <x:v>优先</x:v>
      </x:c>
      <x:c r="M910" s="14" t="str">
        <x:v>完整 PDF 已验证，共 10 页。</x:v>
      </x:c>
      <x:c r="N910" s="14" t="str">
        <x:v>已随应用内置，可直接打开；无需重复下载。</x:v>
      </x:c>
      <x:c r="O910" s="14" t="str">
        <x:v>比较 Welch 与 Student t 检验。看方差不齐和样本量不平衡时的表现，而不是先做一个方差检验机械选法。</x:v>
      </x:c>
      <x:c r="P910" s="14" t="str">
        <x:v>10.5334/irsp.82</x:v>
      </x:c>
      <x:c r="Q910" s="14" t="str">
        <x:v>books/paper-a4fc3acfa3.pdf</x:v>
      </x:c>
      <x:c r="R910" s="17" t="n">
        <x:v>1.3336286544799805</x:v>
      </x:c>
      <x:c r="S910" s="14" t="str">
        <x:v>07c8f98977a035cf07e9a330ad35f20bb8dcac2bcb1dbb99a1b46878d057a092</x:v>
      </x:c>
      <x:c r="T910" s="14" t="str">
        <x:v>开放获取原文；保留原版权页，具体许可条款见原文及期刊来源页</x:v>
      </x:c>
      <x:c r="U910" s="19" t="n">
        <x:v>46303</x:v>
      </x:c>
    </x:row>
    <x:row r="911" ht="68" customHeight="1">
      <x:c r="A911" s="14" t="str">
        <x:v>D-F04EF1A2</x:v>
      </x:c>
      <x:c r="B911" s="14" t="str">
        <x:v>已内置</x:v>
      </x:c>
      <x:c r="C911" s="14" t="str">
        <x:v>psych · 心理计量与因素分析参考手册</x:v>
      </x:c>
      <x:c r="D911" s="14" t="str">
        <x:v>英文</x:v>
      </x:c>
      <x:c r="E911" s="15" t="str">
        <x:v>未处理</x:v>
      </x:c>
      <x:c r="F911" s="15" t="str"/>
      <x:c r="G911" s="16" t="str">
        <x:v>https://cran.r-project.org/web/packages/psych/psych.pdf</x:v>
      </x:c>
      <x:c r="H911" s="14" t="str">
        <x:v>B01；B02；B03；B04；B05；B06；B07；B18；I02</x:v>
      </x:c>
      <x:c r="I911" s="14" t="str">
        <x:v>William Revelle</x:v>
      </x:c>
      <x:c r="J911" s="18" t="str"/>
      <x:c r="K911" s="14" t="str">
        <x:v>R 说明书</x:v>
      </x:c>
      <x:c r="L911" s="14" t="str">
        <x:v>优先</x:v>
      </x:c>
      <x:c r="M911" s="14" t="str">
        <x:v>完整 PDF 已验证，共 498 页。</x:v>
      </x:c>
      <x:c r="N911" s="14" t="str">
        <x:v>已随应用内置，可直接打开；无需重复下载。</x:v>
      </x:c>
      <x:c r="O911" s="14" t="str">
        <x:v>先查 Description 与 Examples，结合方法卡的中文步骤阅读；函数参数表用于查阅。</x:v>
      </x:c>
      <x:c r="P911" s="14" t="str"/>
      <x:c r="Q911" s="14" t="str">
        <x:v>books/manual-psych.pdf</x:v>
      </x:c>
      <x:c r="R911" s="17" t="n">
        <x:v>1.4363784790039062</x:v>
      </x:c>
      <x:c r="S911" s="14" t="str">
        <x:v>1f724635eeb9bd68a69125e950f9ce51abf2643720ff65d56caa36f72eb39ffa</x:v>
      </x:c>
      <x:c r="T911" s="14" t="str">
        <x:v>CRAN 包参考手册；License 字段与原始版权信息保留在文件内</x:v>
      </x:c>
      <x:c r="U911" s="19" t="n">
        <x:v>46303</x:v>
      </x:c>
    </x:row>
    <x:row r="912" ht="68" customHeight="1">
      <x:c r="A912" s="14" t="str">
        <x:v>D-07C6FD62</x:v>
      </x:c>
      <x:c r="B912" s="14" t="str">
        <x:v>已内置</x:v>
      </x:c>
      <x:c r="C912" s="14" t="str">
        <x:v>从因子分析到结构方程模型</x:v>
      </x:c>
      <x:c r="D912" s="14" t="str">
        <x:v>中文</x:v>
      </x:c>
      <x:c r="E912" s="15" t="str">
        <x:v>未处理</x:v>
      </x:c>
      <x:c r="F912" s="15" t="str"/>
      <x:c r="G912" s="16" t="str">
        <x:v>https://aic-fe.bnu.edu.cn/docs/20201225115921633393.pdf</x:v>
      </x:c>
      <x:c r="H912" s="14" t="str">
        <x:v>B02；B03；B05；B06；B07；B08；B09；B10；B14；B15；B18；B19；E01；E02；E03；E04；E06；E09；E11</x:v>
      </x:c>
      <x:c r="I912" s="14" t="str">
        <x:v>罗九同 · 北京师范大学</x:v>
      </x:c>
      <x:c r="J912" s="18" t="str"/>
      <x:c r="K912" s="14" t="str">
        <x:v>教程 / 原文</x:v>
      </x:c>
      <x:c r="L912" s="14" t="str">
        <x:v>优先</x:v>
      </x:c>
      <x:c r="M912" s="14" t="str">
        <x:v>完整 PDF 已验证，共 48 页。</x:v>
      </x:c>
      <x:c r="N912" s="14" t="str">
        <x:v>已随应用内置，可直接打开；无需重复下载。</x:v>
      </x:c>
      <x:c r="O912" s="14" t="str">
        <x:v>按关联方法选读。讲解测量模型与结构模型的关系。</x:v>
      </x:c>
      <x:c r="P912" s="14" t="str"/>
      <x:c r="Q912" s="14" t="str">
        <x:v>books/reading-07c6fd62e4.pdf</x:v>
      </x:c>
      <x:c r="R912" s="17" t="n">
        <x:v>5.832386016845703</x:v>
      </x:c>
      <x:c r="S912" s="14" t="str">
        <x:v>82c7fe742d1d720153f5606271dbc78d7c32a02704d8297f9296a5fbc1b0a488</x:v>
      </x:c>
      <x:c r="T912" s="14" t="str">
        <x:v>作者、高校或官方公开文件；保留原著版权页，具体使用条件见原文</x:v>
      </x:c>
      <x:c r="U912" s="19" t="n">
        <x:v>46303</x:v>
      </x:c>
    </x:row>
    <x:row r="913" ht="68" customHeight="1">
      <x:c r="A913" s="14" t="str">
        <x:v>D-76DA850F</x:v>
      </x:c>
      <x:c r="B913" s="14" t="str">
        <x:v>已内置</x:v>
      </x:c>
      <x:c r="C913" s="14" t="str">
        <x:v>Exploratory graph analysis: A new approach for estimating the number of dimensions in psychological research</x:v>
      </x:c>
      <x:c r="D913" s="14" t="str">
        <x:v>英文</x:v>
      </x:c>
      <x:c r="E913" s="15" t="str">
        <x:v>未处理</x:v>
      </x:c>
      <x:c r="F913" s="15" t="str"/>
      <x:c r="G913" s="16" t="str">
        <x:v>https://doi.org/10.1371/journal.pone.0174035</x:v>
      </x:c>
      <x:c r="H913" s="14" t="str">
        <x:v>B05</x:v>
      </x:c>
      <x:c r="I913" s="14" t="str">
        <x:v>Hudson F. Golino; Sacha Epskamp</x:v>
      </x:c>
      <x:c r="J913" s="18" t="n">
        <x:v>2017</x:v>
      </x:c>
      <x:c r="K913" s="14" t="str">
        <x:v>研究论文 / 教程</x:v>
      </x:c>
      <x:c r="L913" s="14" t="str">
        <x:v>优先</x:v>
      </x:c>
      <x:c r="M913" s="14" t="str">
        <x:v>完整 PDF 已验证，共 26 页。</x:v>
      </x:c>
      <x:c r="N913" s="14" t="str">
        <x:v>已随应用内置，可直接打开；无需重复下载。</x:v>
      </x:c>
      <x:c r="O913" s="14" t="str">
        <x:v>探索性图分析原始研究。先理解维度识别问题，再看模拟条件，不能把一个网络图直接视为效度证明。</x:v>
      </x:c>
      <x:c r="P913" s="14" t="str">
        <x:v>10.1371/journal.pone.0174035</x:v>
      </x:c>
      <x:c r="Q913" s="14" t="str">
        <x:v>books/paper-76da850f0c.pdf</x:v>
      </x:c>
      <x:c r="R913" s="17" t="n">
        <x:v>10.929422378540039</x:v>
      </x:c>
      <x:c r="S913" s="14" t="str">
        <x:v>b58eddbdc78d9e1919884ae9e77161f2b74cacc0d359a3c35eed0c8afc19af89</x:v>
      </x:c>
      <x:c r="T913" s="14" t="str">
        <x:v>开放获取原文；保留原版权页，具体许可条款见原文及期刊来源页</x:v>
      </x:c>
      <x:c r="U913" s="19" t="n">
        <x:v>46303</x:v>
      </x:c>
    </x:row>
    <x:row r="914" ht="68" customHeight="1">
      <x:c r="A914" s="14" t="str">
        <x:v>D-406D444A</x:v>
      </x:c>
      <x:c r="B914" s="14" t="str">
        <x:v>已内置</x:v>
      </x:c>
      <x:c r="C914" s="14" t="str">
        <x:v>lavaan · 潜变量与结构方程参考手册</x:v>
      </x:c>
      <x:c r="D914" s="14" t="str">
        <x:v>英文</x:v>
      </x:c>
      <x:c r="E914" s="15" t="str">
        <x:v>未处理</x:v>
      </x:c>
      <x:c r="F914" s="15" t="str"/>
      <x:c r="G914" s="16" t="str">
        <x:v>https://cran.r-project.org/web/packages/lavaan/lavaan.pdf</x:v>
      </x:c>
      <x:c r="H914" s="14" t="str">
        <x:v>B05；B06；B07；B08；B09；B20；E01；E02；E03；E04；E05；E07；E08；E11；N01</x:v>
      </x:c>
      <x:c r="I914" s="14" t="str">
        <x:v>Yves Rosseel 等</x:v>
      </x:c>
      <x:c r="J914" s="18" t="str"/>
      <x:c r="K914" s="14" t="str">
        <x:v>R 说明书</x:v>
      </x:c>
      <x:c r="L914" s="14" t="str">
        <x:v>优先</x:v>
      </x:c>
      <x:c r="M914" s="14" t="str">
        <x:v>完整 PDF 已验证，共 183 页。</x:v>
      </x:c>
      <x:c r="N914" s="14" t="str">
        <x:v>已随应用内置，可直接打开；无需重复下载。</x:v>
      </x:c>
      <x:c r="O914" s="14" t="str">
        <x:v>先查 Description 与 Examples，结合方法卡的中文步骤阅读；函数参数表用于查阅。</x:v>
      </x:c>
      <x:c r="P914" s="14" t="str"/>
      <x:c r="Q914" s="14" t="str">
        <x:v>books/manual-lavaan.pdf</x:v>
      </x:c>
      <x:c r="R914" s="17" t="n">
        <x:v>0.6237869262695312</x:v>
      </x:c>
      <x:c r="S914" s="14" t="str">
        <x:v>969cee634399198d580d10493fa2a7ccf2cf678b96b67fafee1d128c388b6b84</x:v>
      </x:c>
      <x:c r="T914" s="14" t="str">
        <x:v>CRAN 包参考手册；License 字段与原始版权信息保留在文件内</x:v>
      </x:c>
      <x:c r="U914" s="19" t="n">
        <x:v>46303</x:v>
      </x:c>
    </x:row>
    <x:row r="915" ht="68" customHeight="1">
      <x:c r="A915" s="14" t="str">
        <x:v>D-498D022C</x:v>
      </x:c>
      <x:c r="B915" s="14" t="str">
        <x:v>已内置</x:v>
      </x:c>
      <x:c r="C915" s="14" t="str">
        <x:v>lavaan: An R Package for Structural Equation Modeling</x:v>
      </x:c>
      <x:c r="D915" s="14" t="str">
        <x:v>英文</x:v>
      </x:c>
      <x:c r="E915" s="15" t="str">
        <x:v>未处理</x:v>
      </x:c>
      <x:c r="F915" s="15" t="str"/>
      <x:c r="G915" s="16" t="str">
        <x:v>https://doi.org/10.18637/jss.v048.i02</x:v>
      </x:c>
      <x:c r="H915" s="14" t="str">
        <x:v>B05；B06；B07；B08；B09；E01；E02；E03</x:v>
      </x:c>
      <x:c r="I915" s="14" t="str">
        <x:v>Yves Rosseel</x:v>
      </x:c>
      <x:c r="J915" s="18" t="str"/>
      <x:c r="K915" s="14" t="str">
        <x:v>研究论文 / 教程</x:v>
      </x:c>
      <x:c r="L915" s="14" t="str">
        <x:v>优先</x:v>
      </x:c>
      <x:c r="M915" s="14" t="str">
        <x:v>完整 PDF 已验证，共 36 页。</x:v>
      </x:c>
      <x:c r="N915" s="14" t="str">
        <x:v>已随应用内置，可直接打开；无需重复下载。</x:v>
      </x:c>
      <x:c r="O915" s="14" t="str">
        <x:v>2012 年 JSS 开放全文。先跟随示例理解模型语法、拟合输出与参数估计；它是软件与方法教程。</x:v>
      </x:c>
      <x:c r="P915" s="14" t="str">
        <x:v>10.18637/jss.v048.i02</x:v>
      </x:c>
      <x:c r="Q915" s="14" t="str">
        <x:v>books/paper-lavaan.pdf</x:v>
      </x:c>
      <x:c r="R915" s="17" t="n">
        <x:v>0.537653923034668</x:v>
      </x:c>
      <x:c r="S915" s="14" t="str">
        <x:v>0a6ece4882425073a048814a340b1569064f0e616d5118112d8d7180c237d6d8</x:v>
      </x:c>
      <x:c r="T915" s="14" t="str">
        <x:v>期刊或作者公开全文；保留原文件与版权信息，使用条件见原文及来源页</x:v>
      </x:c>
      <x:c r="U915" s="19" t="n">
        <x:v>46303</x:v>
      </x:c>
    </x:row>
    <x:row r="916" ht="68" customHeight="1">
      <x:c r="A916" s="14" t="str">
        <x:v>D-7B053835</x:v>
      </x:c>
      <x:c r="B916" s="14" t="str">
        <x:v>已内置</x:v>
      </x:c>
      <x:c r="C916" s="14" t="str">
        <x:v>多元统计讲义（完整 PDF）</x:v>
      </x:c>
      <x:c r="D916" s="14" t="str">
        <x:v>中文</x:v>
      </x:c>
      <x:c r="E916" s="15" t="str">
        <x:v>未处理</x:v>
      </x:c>
      <x:c r="F916" s="15" t="str"/>
      <x:c r="G916" s="16" t="str">
        <x:v>https://math.pku.edu.cn/teachers/lidf/course/mvr/mvrnotes/html/_mvrnotes/mvrnotes.pdf</x:v>
      </x:c>
      <x:c r="H916" s="14" t="str">
        <x:v>B05；C06；I01；I02；I03；I05；I06；I07</x:v>
      </x:c>
      <x:c r="I916" s="14" t="str">
        <x:v>李东风 · 北京大学</x:v>
      </x:c>
      <x:c r="J916" s="18" t="str"/>
      <x:c r="K916" s="14" t="str">
        <x:v>教程 / 原文</x:v>
      </x:c>
      <x:c r="L916" s="14" t="str">
        <x:v>优先</x:v>
      </x:c>
      <x:c r="M916" s="14" t="str">
        <x:v>完整 PDF 已验证，共 787 页。</x:v>
      </x:c>
      <x:c r="N916" s="14" t="str">
        <x:v>已随应用内置，可直接打开；无需重复下载。</x:v>
      </x:c>
      <x:c r="O916" s="14" t="str">
        <x:v>按关联方法选读。主成分、因子分析、聚类与多元统计基础；以目录定位章节。</x:v>
      </x:c>
      <x:c r="P916" s="14" t="str"/>
      <x:c r="Q916" s="14" t="str">
        <x:v>books/reading-7b053835ee.pdf</x:v>
      </x:c>
      <x:c r="R916" s="17" t="n">
        <x:v>8.27085018157959</x:v>
      </x:c>
      <x:c r="S916" s="14" t="str">
        <x:v>5a9636725fb4e7aab63080afcf0645e685e3e5912a9bde374bbc4e9d5e64fcb7</x:v>
      </x:c>
      <x:c r="T916" s="14" t="str">
        <x:v>作者、高校或官方公开文件；保留原著版权页，具体使用条件见原文</x:v>
      </x:c>
      <x:c r="U916" s="19" t="n">
        <x:v>46303</x:v>
      </x:c>
    </x:row>
    <x:row r="917" ht="68" customHeight="1">
      <x:c r="A917" s="14" t="str">
        <x:v>D-05A3B99D</x:v>
      </x:c>
      <x:c r="B917" s="14" t="str">
        <x:v>已内置</x:v>
      </x:c>
      <x:c r="C917" s="14" t="str">
        <x:v>Exploratory Structural Equation Modeling: Practical Guidelines and Tutorial With a Convenient Online Tool for Mplus</x:v>
      </x:c>
      <x:c r="D917" s="14" t="str">
        <x:v>英文</x:v>
      </x:c>
      <x:c r="E917" s="15" t="str">
        <x:v>未处理</x:v>
      </x:c>
      <x:c r="F917" s="15" t="str"/>
      <x:c r="G917" s="16" t="str">
        <x:v>https://doi.org/10.3389/fpsyt.2021.795672</x:v>
      </x:c>
      <x:c r="H917" s="14" t="str">
        <x:v>B08</x:v>
      </x:c>
      <x:c r="I917" s="14" t="str">
        <x:v>van Zyl, Llewellyn E.; ten Klooster, Peter M.</x:v>
      </x:c>
      <x:c r="J917" s="18" t="n">
        <x:v>2022</x:v>
      </x:c>
      <x:c r="K917" s="14" t="str">
        <x:v>研究论文 / 教程</x:v>
      </x:c>
      <x:c r="L917" s="14" t="str">
        <x:v>优先</x:v>
      </x:c>
      <x:c r="M917" s="14" t="str">
        <x:v>完整 PDF 已验证，共 28 页。</x:v>
      </x:c>
      <x:c r="N917" s="14" t="str">
        <x:v>已随应用内置，可直接打开；无需重复下载。</x:v>
      </x:c>
      <x:c r="O917" s="14" t="str">
        <x:v>探索性结构方程实用教程，正式发表时间为 2022 年；DOI 中含 2021 不等于正式发表年。结合载荷、目标旋转和示例看输出。</x:v>
      </x:c>
      <x:c r="P917" s="14" t="str">
        <x:v>10.3389/fpsyt.2021.795672</x:v>
      </x:c>
      <x:c r="Q917" s="14" t="str">
        <x:v>books/paper-05a3b99d12.pdf</x:v>
      </x:c>
      <x:c r="R917" s="17" t="n">
        <x:v>2.9088315963745117</x:v>
      </x:c>
      <x:c r="S917" s="14" t="str">
        <x:v>6ab7a2d2c368e64de4353514ad1f80fa9a83ebbb47dd2755cd1e8cd04ee54987</x:v>
      </x:c>
      <x:c r="T917" s="14" t="str">
        <x:v>开放获取原文；保留原版权页，具体许可条款见原文及期刊来源页</x:v>
      </x:c>
      <x:c r="U917" s="19" t="n">
        <x:v>46303</x:v>
      </x:c>
    </x:row>
    <x:row r="918" ht="68" customHeight="1">
      <x:c r="A918" s="14" t="str">
        <x:v>D-77E4187B</x:v>
      </x:c>
      <x:c r="B918" s="14" t="str">
        <x:v>已内置</x:v>
      </x:c>
      <x:c r="C918" s="14" t="str">
        <x:v>mirt · 多维项目反应理论参考手册</x:v>
      </x:c>
      <x:c r="D918" s="14" t="str">
        <x:v>英文</x:v>
      </x:c>
      <x:c r="E918" s="15" t="str">
        <x:v>未处理</x:v>
      </x:c>
      <x:c r="F918" s="15" t="str"/>
      <x:c r="G918" s="16" t="str">
        <x:v>https://cran.r-project.org/web/packages/mirt/mirt.pdf</x:v>
      </x:c>
      <x:c r="H918" s="14" t="str">
        <x:v>B11；B12；B13；B19；B21</x:v>
      </x:c>
      <x:c r="I918" s="14" t="str">
        <x:v>Philip Chalmers 等</x:v>
      </x:c>
      <x:c r="J918" s="18" t="str"/>
      <x:c r="K918" s="14" t="str">
        <x:v>R 说明书</x:v>
      </x:c>
      <x:c r="L918" s="14" t="str">
        <x:v>优先</x:v>
      </x:c>
      <x:c r="M918" s="14" t="str">
        <x:v>完整 PDF 已验证，共 252 页。</x:v>
      </x:c>
      <x:c r="N918" s="14" t="str">
        <x:v>已随应用内置，可直接打开；无需重复下载。</x:v>
      </x:c>
      <x:c r="O918" s="14" t="str">
        <x:v>先查 Description 与 Examples，结合方法卡的中文步骤阅读；函数参数表用于查阅。</x:v>
      </x:c>
      <x:c r="P918" s="14" t="str"/>
      <x:c r="Q918" s="14" t="str">
        <x:v>books/manual-mirt.pdf</x:v>
      </x:c>
      <x:c r="R918" s="17" t="n">
        <x:v>0.6834812164306641</x:v>
      </x:c>
      <x:c r="S918" s="14" t="str">
        <x:v>e76bc89736025e0e35b23c2f93246a49bf3c30278e302c61282e2e652f2959ca</x:v>
      </x:c>
      <x:c r="T918" s="14" t="str">
        <x:v>CRAN 包参考手册；License 字段与原始版权信息保留在文件内</x:v>
      </x:c>
      <x:c r="U918" s="19" t="n">
        <x:v>46303</x:v>
      </x:c>
    </x:row>
    <x:row r="919" ht="68" customHeight="1">
      <x:c r="A919" s="14" t="str">
        <x:v>D-8C31B417</x:v>
      </x:c>
      <x:c r="B919" s="14" t="str">
        <x:v>已内置</x:v>
      </x:c>
      <x:c r="C919" s="14" t="str">
        <x:v>mirt: A Multidimensional Item Response Theory Package for the R Environment</x:v>
      </x:c>
      <x:c r="D919" s="14" t="str">
        <x:v>英文</x:v>
      </x:c>
      <x:c r="E919" s="15" t="str">
        <x:v>未处理</x:v>
      </x:c>
      <x:c r="F919" s="15" t="str"/>
      <x:c r="G919" s="16" t="str">
        <x:v>https://doi.org/10.18637/jss.v048.i06</x:v>
      </x:c>
      <x:c r="H919" s="14" t="str">
        <x:v>B12</x:v>
      </x:c>
      <x:c r="I919" s="14" t="str">
        <x:v>R. Philip Chalmers</x:v>
      </x:c>
      <x:c r="J919" s="18" t="n">
        <x:v>2012</x:v>
      </x:c>
      <x:c r="K919" s="14" t="str">
        <x:v>研究论文 / 教程</x:v>
      </x:c>
      <x:c r="L919" s="14" t="str">
        <x:v>优先</x:v>
      </x:c>
      <x:c r="M919" s="14" t="str">
        <x:v>完整 PDF 已验证，共 29 页。</x:v>
      </x:c>
      <x:c r="N919" s="14" t="str">
        <x:v>已随应用内置，可直接打开；无需重复下载。</x:v>
      </x:c>
      <x:c r="O919" s="14" t="str">
        <x:v>多维项目反应理论的 R 教程。结合题目与潜在能力维度理解参数，不只照抄拟合命令。</x:v>
      </x:c>
      <x:c r="P919" s="14" t="str">
        <x:v>10.18637/jss.v048.i06</x:v>
      </x:c>
      <x:c r="Q919" s="14" t="str">
        <x:v>books/paper-v048i06.pdf</x:v>
      </x:c>
      <x:c r="R919" s="17" t="n">
        <x:v>0.6121721267700195</x:v>
      </x:c>
      <x:c r="S919" s="14" t="str">
        <x:v>e1db8d9b520078add9df0d9f714120bb242a56eac71e2906d359537e649fa8b2</x:v>
      </x:c>
      <x:c r="T919" s="14" t="str">
        <x:v>JSS 开放获取，CC BY 3.0；保留原文、作者和来源</x:v>
      </x:c>
      <x:c r="U919" s="19" t="n">
        <x:v>46303</x:v>
      </x:c>
    </x:row>
    <x:row r="920" ht="68" customHeight="1">
      <x:c r="A920" s="14" t="str">
        <x:v>D-EB25D153</x:v>
      </x:c>
      <x:c r="B920" s="14" t="str">
        <x:v>已内置</x:v>
      </x:c>
      <x:c r="C920" s="14" t="str">
        <x:v>HDDM: Hierarchical Bayesian estimation of the Drift-Diffusion Model in Python</x:v>
      </x:c>
      <x:c r="D920" s="14" t="str">
        <x:v>英文</x:v>
      </x:c>
      <x:c r="E920" s="15" t="str">
        <x:v>未处理</x:v>
      </x:c>
      <x:c r="F920" s="15" t="str"/>
      <x:c r="G920" s="16" t="str">
        <x:v>https://doi.org/10.3389/fninf.2013.00014</x:v>
      </x:c>
      <x:c r="H920" s="14" t="str">
        <x:v>B17</x:v>
      </x:c>
      <x:c r="I920" s="14" t="str">
        <x:v>Wiecki, Thomas  V; Sofer, Imri; Frank, Michael  J</x:v>
      </x:c>
      <x:c r="J920" s="18" t="n">
        <x:v>2013</x:v>
      </x:c>
      <x:c r="K920" s="14" t="str">
        <x:v>研究论文 / 教程</x:v>
      </x:c>
      <x:c r="L920" s="14" t="str">
        <x:v>优先</x:v>
      </x:c>
      <x:c r="M920" s="14" t="str">
        <x:v>完整 PDF 已验证，共 10 页。</x:v>
      </x:c>
      <x:c r="N920" s="14" t="str">
        <x:v>已随应用内置，可直接打开；无需重复下载。</x:v>
      </x:c>
      <x:c r="O920" s="14" t="str">
        <x:v>HDDM 的 Python 软件论文。先理解反应时与选择结果的联合建模，再看层级模型和诊断。</x:v>
      </x:c>
      <x:c r="P920" s="14" t="str">
        <x:v>10.3389/fninf.2013.00014</x:v>
      </x:c>
      <x:c r="Q920" s="14" t="str">
        <x:v>books/paper-eb25d153cd.pdf</x:v>
      </x:c>
      <x:c r="R920" s="17" t="n">
        <x:v>2.363872528076172</x:v>
      </x:c>
      <x:c r="S920" s="14" t="str">
        <x:v>0bb265809bba8252063ba2e636108d6a17c355dee20b98bd3cf43307f2bf0967</x:v>
      </x:c>
      <x:c r="T920" s="14" t="str">
        <x:v>开放获取原文；保留原版权页，具体许可条款见原文及期刊来源页</x:v>
      </x:c>
      <x:c r="U920" s="19" t="n">
        <x:v>46303</x:v>
      </x:c>
    </x:row>
    <x:row r="921" ht="68" customHeight="1">
      <x:c r="A921" s="14" t="str">
        <x:v>D-AAD31B25</x:v>
      </x:c>
      <x:c r="B921" s="14" t="str">
        <x:v>已内置</x:v>
      </x:c>
      <x:c r="C921" s="14" t="str">
        <x:v>brms · 贝叶斯回归参考手册</x:v>
      </x:c>
      <x:c r="D921" s="14" t="str">
        <x:v>英文</x:v>
      </x:c>
      <x:c r="E921" s="15" t="str">
        <x:v>未处理</x:v>
      </x:c>
      <x:c r="F921" s="15" t="str"/>
      <x:c r="G921" s="16" t="str">
        <x:v>https://cran.r-project.org/web/packages/brms/brms.pdf</x:v>
      </x:c>
      <x:c r="H921" s="14" t="str">
        <x:v>B17；H08；K01；K02；K03；K05；K06</x:v>
      </x:c>
      <x:c r="I921" s="14" t="str">
        <x:v>Paul-Christian Bürkner 等</x:v>
      </x:c>
      <x:c r="J921" s="18" t="str"/>
      <x:c r="K921" s="14" t="str">
        <x:v>R 说明书</x:v>
      </x:c>
      <x:c r="L921" s="14" t="str">
        <x:v>优先</x:v>
      </x:c>
      <x:c r="M921" s="14" t="str">
        <x:v>完整 PDF 已验证，共 260 页。</x:v>
      </x:c>
      <x:c r="N921" s="14" t="str">
        <x:v>已随应用内置，可直接打开；无需重复下载。</x:v>
      </x:c>
      <x:c r="O921" s="14" t="str">
        <x:v>先查 Description 与 Examples，结合方法卡的中文步骤阅读；函数参数表用于查阅。</x:v>
      </x:c>
      <x:c r="P921" s="14" t="str"/>
      <x:c r="Q921" s="14" t="str">
        <x:v>books/manual-brms.pdf</x:v>
      </x:c>
      <x:c r="R921" s="17" t="n">
        <x:v>0.7471256256103516</x:v>
      </x:c>
      <x:c r="S921" s="14" t="str">
        <x:v>52a60fe0defcc07b97a211517fd0c6f84cc0184873926ed0ab2a58a3f731fd21</x:v>
      </x:c>
      <x:c r="T921" s="14" t="str">
        <x:v>CRAN 包参考手册；License 字段与原始版权信息保留在文件内</x:v>
      </x:c>
      <x:c r="U921" s="19" t="n">
        <x:v>46303</x:v>
      </x:c>
    </x:row>
    <x:row r="922" ht="68" customHeight="1">
      <x:c r="A922" s="14" t="str">
        <x:v>D-92D34DBA</x:v>
      </x:c>
      <x:c r="B922" s="14" t="str">
        <x:v>已内置</x:v>
      </x:c>
      <x:c r="C922" s="14" t="str">
        <x:v>Simpson's paradox in psychological science: a practical guide</x:v>
      </x:c>
      <x:c r="D922" s="14" t="str">
        <x:v>英文</x:v>
      </x:c>
      <x:c r="E922" s="15" t="str">
        <x:v>未处理</x:v>
      </x:c>
      <x:c r="F922" s="15" t="str"/>
      <x:c r="G922" s="16" t="str">
        <x:v>https://doi.org/10.3389/fpsyg.2013.00513</x:v>
      </x:c>
      <x:c r="H922" s="14" t="str">
        <x:v>D01</x:v>
      </x:c>
      <x:c r="I922" s="14" t="str">
        <x:v>Kievit, Rogier; Frankenhuis, Willem  Eduard; Waldorp, Lourens; Borsboom, Denny</x:v>
      </x:c>
      <x:c r="J922" s="18" t="n">
        <x:v>2013</x:v>
      </x:c>
      <x:c r="K922" s="14" t="str">
        <x:v>研究论文 / 教程</x:v>
      </x:c>
      <x:c r="L922" s="14" t="str">
        <x:v>优先</x:v>
      </x:c>
      <x:c r="M922" s="14" t="str">
        <x:v>完整 PDF 已验证，共 14 页。</x:v>
      </x:c>
      <x:c r="N922" s="14" t="str">
        <x:v>已随应用内置，可直接打开；无需重复下载。</x:v>
      </x:c>
      <x:c r="O922" s="14" t="str">
        <x:v>辛普森悖论教程。用例子区分总体与分组关系，理解聚合方式为什么改变解释。</x:v>
      </x:c>
      <x:c r="P922" s="14" t="str">
        <x:v>10.3389/fpsyg.2013.00513</x:v>
      </x:c>
      <x:c r="Q922" s="14" t="str">
        <x:v>books/paper-92d34dbaeb.pdf</x:v>
      </x:c>
      <x:c r="R922" s="17" t="n">
        <x:v>1.886087417602539</x:v>
      </x:c>
      <x:c r="S922" s="14" t="str">
        <x:v>ed9a26a9f06a6e125b458ca44fc196d9474ab8b298efaeccfc1c68a81d197c2b</x:v>
      </x:c>
      <x:c r="T922" s="14" t="str">
        <x:v>开放获取原文；保留原版权页，具体许可条款见原文及期刊来源页</x:v>
      </x:c>
      <x:c r="U922" s="19" t="n">
        <x:v>46303</x:v>
      </x:c>
    </x:row>
    <x:row r="923" ht="68" customHeight="1">
      <x:c r="A923" s="14" t="str">
        <x:v>D-BCB58E1C</x:v>
      </x:c>
      <x:c r="B923" s="14" t="str">
        <x:v>已内置</x:v>
      </x:c>
      <x:c r="C923" s="14" t="str">
        <x:v>因果·影响·相关与预测辨析</x:v>
      </x:c>
      <x:c r="D923" s="14" t="str">
        <x:v>中文</x:v>
      </x:c>
      <x:c r="E923" s="15" t="str">
        <x:v>未处理</x:v>
      </x:c>
      <x:c r="F923" s="15" t="str"/>
      <x:c r="G923" s="16" t="str">
        <x:v>https://doi.org/10.3724/SP.J.1041.2025.1108</x:v>
      </x:c>
      <x:c r="H923" s="14" t="str">
        <x:v>D01；G01；G02；J01</x:v>
      </x:c>
      <x:c r="I923" s="14" t="str">
        <x:v>WEN</x:v>
      </x:c>
      <x:c r="J923" s="18" t="n">
        <x:v>2025</x:v>
      </x:c>
      <x:c r="K923" s="14" t="str">
        <x:v>研究论文 / 教程</x:v>
      </x:c>
      <x:c r="L923" s="14" t="str">
        <x:v>优先</x:v>
      </x:c>
      <x:c r="M923" s="14" t="str">
        <x:v>完整 PDF 已验证，共 11 页。</x:v>
      </x:c>
      <x:c r="N923" s="14" t="str">
        <x:v>已随应用内置，可直接打开；无需重复下载。</x:v>
      </x:c>
      <x:c r="O923" s="14" t="str">
        <x:v>中文方法论讨论：区分因果、影响、相关与预测。与同期期刊评论对读，辨认统计模型与论证目标。</x:v>
      </x:c>
      <x:c r="P923" s="14" t="str">
        <x:v>10.3724/SP.J.1041.2025.1108</x:v>
      </x:c>
      <x:c r="Q923" s="14" t="str">
        <x:v>books/paper-9e273a2ad9.pdf</x:v>
      </x:c>
      <x:c r="R923" s="17" t="n">
        <x:v>0.4115028381347656</x:v>
      </x:c>
      <x:c r="S923" s="14" t="str">
        <x:v>bc26cf4b5913b090e9e4c0b845bf0957d5987c96b8ace85a72c9965928852733</x:v>
      </x:c>
      <x:c r="T923" s="14" t="str">
        <x:v>开放获取原文；保留原版权页，具体许可条款见原文及期刊来源页</x:v>
      </x:c>
      <x:c r="U923" s="19" t="n">
        <x:v>46303</x:v>
      </x:c>
    </x:row>
    <x:row r="924" ht="68" customHeight="1">
      <x:c r="A924" s="14" t="str">
        <x:v>D-1B2071E0</x:v>
      </x:c>
      <x:c r="B924" s="14" t="str">
        <x:v>已内置</x:v>
      </x:c>
      <x:c r="C924" s="14" t="str">
        <x:v>所谓影响关系有待商榷：对温忠麟等人(2024)的评论</x:v>
      </x:c>
      <x:c r="D924" s="14" t="str">
        <x:v>中文</x:v>
      </x:c>
      <x:c r="E924" s="15" t="str">
        <x:v>未处理</x:v>
      </x:c>
      <x:c r="F924" s="15" t="str"/>
      <x:c r="G924" s="16" t="str">
        <x:v>https://doi.org/10.3724/SP.J.1041.2025.1098</x:v>
      </x:c>
      <x:c r="H924" s="14" t="str">
        <x:v>D01；G01；G02；J01</x:v>
      </x:c>
      <x:c r="I924" s="14" t="str">
        <x:v>GE</x:v>
      </x:c>
      <x:c r="J924" s="18" t="n">
        <x:v>2025</x:v>
      </x:c>
      <x:c r="K924" s="14" t="str">
        <x:v>研究论文 / 教程</x:v>
      </x:c>
      <x:c r="L924" s="14" t="str">
        <x:v>优先</x:v>
      </x:c>
      <x:c r="M924" s="14" t="str">
        <x:v>完整 PDF 已验证，共 10 页。</x:v>
      </x:c>
      <x:c r="N924" s="14" t="str">
        <x:v>已随应用内置，可直接打开；无需重复下载。</x:v>
      </x:c>
      <x:c r="O924" s="14" t="str">
        <x:v>中文方法论评论：检视“影响关系”的表述与识别要求。与相关回应文章对读，不能把争论当成统一结论。</x:v>
      </x:c>
      <x:c r="P924" s="14" t="str">
        <x:v>10.3724/SP.J.1041.2025.1098</x:v>
      </x:c>
      <x:c r="Q924" s="14" t="str">
        <x:v>books/paper-1777135627.pdf</x:v>
      </x:c>
      <x:c r="R924" s="17" t="n">
        <x:v>0.779047966003418</x:v>
      </x:c>
      <x:c r="S924" s="14" t="str">
        <x:v>cc248540aad02231b5294ded34cc8198ff28a597c7e30f6180ed88e6d617c45f</x:v>
      </x:c>
      <x:c r="T924" s="14" t="str">
        <x:v>开放获取原文；保留原版权页，具体许可条款见原文及期刊来源页</x:v>
      </x:c>
      <x:c r="U924" s="19" t="n">
        <x:v>46303</x:v>
      </x:c>
    </x:row>
    <x:row r="925" ht="68" customHeight="1">
      <x:c r="A925" s="14" t="str">
        <x:v>D-FDF3A919</x:v>
      </x:c>
      <x:c r="B925" s="14" t="str">
        <x:v>已内置</x:v>
      </x:c>
      <x:c r="C925" s="14" t="str">
        <x:v>fixest · 固定效应估计参考手册</x:v>
      </x:c>
      <x:c r="D925" s="14" t="str">
        <x:v>英文</x:v>
      </x:c>
      <x:c r="E925" s="15" t="str">
        <x:v>未处理</x:v>
      </x:c>
      <x:c r="F925" s="15" t="str"/>
      <x:c r="G925" s="16" t="str">
        <x:v>https://cran.r-project.org/web/packages/fixest/fixest.pdf</x:v>
      </x:c>
      <x:c r="H925" s="14" t="str">
        <x:v>D02；F05；G07；G08；O05</x:v>
      </x:c>
      <x:c r="I925" s="14" t="str">
        <x:v>Laurent Bergé 等</x:v>
      </x:c>
      <x:c r="J925" s="18" t="str"/>
      <x:c r="K925" s="14" t="str">
        <x:v>R 说明书</x:v>
      </x:c>
      <x:c r="L925" s="14" t="str">
        <x:v>优先</x:v>
      </x:c>
      <x:c r="M925" s="14" t="str">
        <x:v>完整 PDF 已验证，共 299 页。</x:v>
      </x:c>
      <x:c r="N925" s="14" t="str">
        <x:v>已随应用内置，可直接打开；无需重复下载。</x:v>
      </x:c>
      <x:c r="O925" s="14" t="str">
        <x:v>先查 Description 与 Examples，结合方法卡的中文步骤阅读；函数参数表用于查阅。</x:v>
      </x:c>
      <x:c r="P925" s="14" t="str"/>
      <x:c r="Q925" s="14" t="str">
        <x:v>books/manual-fixest.pdf</x:v>
      </x:c>
      <x:c r="R925" s="17" t="n">
        <x:v>0.8312053680419922</x:v>
      </x:c>
      <x:c r="S925" s="14" t="str">
        <x:v>e7d9d489a7ec86fabca1eff3dc74aad75ae191dacbe6cb64acb784cb05670090</x:v>
      </x:c>
      <x:c r="T925" s="14" t="str">
        <x:v>CRAN 包参考手册；License 字段与原始版权信息保留在文件内</x:v>
      </x:c>
      <x:c r="U925" s="19" t="n">
        <x:v>46303</x:v>
      </x:c>
    </x:row>
    <x:row r="926" ht="68" customHeight="1">
      <x:c r="A926" s="14" t="str">
        <x:v>D-254702CA</x:v>
      </x:c>
      <x:c r="B926" s="14" t="str">
        <x:v>已内置</x:v>
      </x:c>
      <x:c r="C926" s="14" t="str">
        <x:v>Statistically Controlling for Confounding Constructs Is Harder than You Think</x:v>
      </x:c>
      <x:c r="D926" s="14" t="str">
        <x:v>英文</x:v>
      </x:c>
      <x:c r="E926" s="15" t="str">
        <x:v>未处理</x:v>
      </x:c>
      <x:c r="F926" s="15" t="str"/>
      <x:c r="G926" s="16" t="str">
        <x:v>https://doi.org/10.1371/journal.pone.0152719</x:v>
      </x:c>
      <x:c r="H926" s="14" t="str">
        <x:v>D02；N06</x:v>
      </x:c>
      <x:c r="I926" s="14" t="str">
        <x:v>Jacob Westfall; Tal Yarkoni</x:v>
      </x:c>
      <x:c r="J926" s="18" t="n">
        <x:v>2016</x:v>
      </x:c>
      <x:c r="K926" s="14" t="str">
        <x:v>研究论文 / 教程</x:v>
      </x:c>
      <x:c r="L926" s="14" t="str">
        <x:v>优先</x:v>
      </x:c>
      <x:c r="M926" s="14" t="str">
        <x:v>完整 PDF 已验证，共 22 页。</x:v>
      </x:c>
      <x:c r="N926" s="14" t="str">
        <x:v>已随应用内置，可直接打开；无需重复下载。</x:v>
      </x:c>
      <x:c r="O926" s="14" t="str">
        <x:v>讨论测量误差为什么使“统计控制”不能等同于排除混杂；适合与测量和因果图一起阅读。</x:v>
      </x:c>
      <x:c r="P926" s="14" t="str">
        <x:v>10.1371/journal.pone.0152719</x:v>
      </x:c>
      <x:c r="Q926" s="14" t="str">
        <x:v>books/paper-254702cadd.pdf</x:v>
      </x:c>
      <x:c r="R926" s="17" t="n">
        <x:v>1.6174135208129883</x:v>
      </x:c>
      <x:c r="S926" s="14" t="str">
        <x:v>6b764596e810dee31cd6a2f645e387f2ed2f2473dc76d772a4f8f9c4347e357f</x:v>
      </x:c>
      <x:c r="T926" s="14" t="str">
        <x:v>开放获取原文；保留原版权页，具体许可条款见原文及期刊来源页</x:v>
      </x:c>
      <x:c r="U926" s="19" t="n">
        <x:v>46303</x:v>
      </x:c>
    </x:row>
    <x:row r="927" ht="68" customHeight="1">
      <x:c r="A927" s="14" t="str">
        <x:v>D-07616F8E</x:v>
      </x:c>
      <x:c r="B927" s="14" t="str">
        <x:v>已内置</x:v>
      </x:c>
      <x:c r="C927" s="14" t="str">
        <x:v>mediation · 因果中介分析参考手册</x:v>
      </x:c>
      <x:c r="D927" s="14" t="str">
        <x:v>英文</x:v>
      </x:c>
      <x:c r="E927" s="15" t="str">
        <x:v>未处理</x:v>
      </x:c>
      <x:c r="F927" s="15" t="str"/>
      <x:c r="G927" s="16" t="str">
        <x:v>https://cran.r-project.org/web/packages/mediation/mediation.pdf</x:v>
      </x:c>
      <x:c r="H927" s="14" t="str">
        <x:v>D05；D06；D07；G10</x:v>
      </x:c>
      <x:c r="I927" s="14" t="str">
        <x:v>Dustin Tingley 等</x:v>
      </x:c>
      <x:c r="J927" s="18" t="str"/>
      <x:c r="K927" s="14" t="str">
        <x:v>R 说明书</x:v>
      </x:c>
      <x:c r="L927" s="14" t="str">
        <x:v>优先</x:v>
      </x:c>
      <x:c r="M927" s="14" t="str">
        <x:v>完整 PDF 已验证，共 70 页。</x:v>
      </x:c>
      <x:c r="N927" s="14" t="str">
        <x:v>已随应用内置，可直接打开；无需重复下载。</x:v>
      </x:c>
      <x:c r="O927" s="14" t="str">
        <x:v>先查 Description 与 Examples，结合方法卡的中文步骤阅读；函数参数表用于查阅。</x:v>
      </x:c>
      <x:c r="P927" s="14" t="str"/>
      <x:c r="Q927" s="14" t="str">
        <x:v>books/manual-mediation.pdf</x:v>
      </x:c>
      <x:c r="R927" s="17" t="n">
        <x:v>0.2758302688598633</x:v>
      </x:c>
      <x:c r="S927" s="14" t="str">
        <x:v>43350350397d7f34b1442683f2a4c66bb388e1ea412dd765de084b3b3d769bc3</x:v>
      </x:c>
      <x:c r="T927" s="14" t="str">
        <x:v>CRAN 包参考手册；License 字段与原始版权信息保留在文件内</x:v>
      </x:c>
      <x:c r="U927" s="19" t="n">
        <x:v>46303</x:v>
      </x:c>
    </x:row>
    <x:row r="928" ht="68" customHeight="1">
      <x:c r="A928" s="14" t="str">
        <x:v>D-4475571E</x:v>
      </x:c>
      <x:c r="B928" s="14" t="str">
        <x:v>已内置</x:v>
      </x:c>
      <x:c r="C928" s="14" t="str">
        <x:v>mediation: R Package for Causal Mediation Analysis</x:v>
      </x:c>
      <x:c r="D928" s="14" t="str">
        <x:v>英文</x:v>
      </x:c>
      <x:c r="E928" s="15" t="str">
        <x:v>未处理</x:v>
      </x:c>
      <x:c r="F928" s="15" t="str"/>
      <x:c r="G928" s="16" t="str">
        <x:v>https://doi.org/10.18637/jss.v059.i05</x:v>
      </x:c>
      <x:c r="H928" s="14" t="str">
        <x:v>D05；D06；G10</x:v>
      </x:c>
      <x:c r="I928" s="14" t="str">
        <x:v>Dustin Tingley; Teppei Yamamoto; Kentaro Hirose; Luke Keele; Kosuke Imai</x:v>
      </x:c>
      <x:c r="J928" s="18" t="n">
        <x:v>2014</x:v>
      </x:c>
      <x:c r="K928" s="14" t="str">
        <x:v>研究论文 / 教程</x:v>
      </x:c>
      <x:c r="L928" s="14" t="str">
        <x:v>优先</x:v>
      </x:c>
      <x:c r="M928" s="14" t="str">
        <x:v>完整 PDF 已验证，共 38 页。</x:v>
      </x:c>
      <x:c r="N928" s="14" t="str">
        <x:v>已随应用内置，可直接打开；无需重复下载。</x:v>
      </x:c>
      <x:c r="O928" s="14" t="str">
        <x:v>用软件教程理解因果中介的识别假设、估计与敏感性分析，不能仅凭显著路径判断机制。</x:v>
      </x:c>
      <x:c r="P928" s="14" t="str">
        <x:v>10.18637/jss.v059.i05</x:v>
      </x:c>
      <x:c r="Q928" s="14" t="str">
        <x:v>books/paper-v059i05.pdf</x:v>
      </x:c>
      <x:c r="R928" s="17" t="n">
        <x:v>0.6061649322509766</x:v>
      </x:c>
      <x:c r="S928" s="14" t="str">
        <x:v>73855032ec6fbb3ecab1375e906acc1b889578ed5ccad4db60b01f7ab7bddaac</x:v>
      </x:c>
      <x:c r="T928" s="14" t="str">
        <x:v>JSS 开放获取，CC BY 3.0；保留原文、作者和来源</x:v>
      </x:c>
      <x:c r="U928" s="19" t="n">
        <x:v>46303</x:v>
      </x:c>
    </x:row>
    <x:row r="929" ht="68" customHeight="1">
      <x:c r="A929" s="14" t="str">
        <x:v>D-9B05C2EC</x:v>
      </x:c>
      <x:c r="B929" s="14" t="str">
        <x:v>已内置</x:v>
      </x:c>
      <x:c r="C929" s="14" t="str">
        <x:v>动手学深度学习 · PyTorch 版</x:v>
      </x:c>
      <x:c r="D929" s="14" t="str">
        <x:v>中文</x:v>
      </x:c>
      <x:c r="E929" s="15" t="str">
        <x:v>未处理</x:v>
      </x:c>
      <x:c r="F929" s="15" t="str"/>
      <x:c r="G929" s="16" t="str">
        <x:v>https://zh-v2.d2l.ai/d2l-zh-pytorch.pdf</x:v>
      </x:c>
      <x:c r="H929" s="14" t="str">
        <x:v>D08；J01；J02；J06；J07；J08；J13；J15；M03；M06；M09；M13；M14；N09</x:v>
      </x:c>
      <x:c r="I929" s="14" t="str">
        <x:v>阿斯顿·张、李沐、扎卡里·C. 立顿、亚历山大·J. 斯莫拉</x:v>
      </x:c>
      <x:c r="J929" s="18" t="str"/>
      <x:c r="K929" s="14" t="str">
        <x:v>教材</x:v>
      </x:c>
      <x:c r="L929" s="14" t="str">
        <x:v>优先</x:v>
      </x:c>
      <x:c r="M929" s="14" t="str">
        <x:v>完整 PDF 已验证，共 797 页。</x:v>
      </x:c>
      <x:c r="N929" s="14" t="str">
        <x:v>已随应用内置，可直接打开；无需重复下载。</x:v>
      </x:c>
      <x:c r="O929" s="14" t="str">
        <x:v>中文原书。先看预备知识与线性回归；深度学习章节可在具备基础后选读。</x:v>
      </x:c>
      <x:c r="P929" s="14" t="str"/>
      <x:c r="Q929" s="14" t="str">
        <x:v>books/d2l-zh.pdf</x:v>
      </x:c>
      <x:c r="R929" s="17" t="n">
        <x:v>29.447704315185547</x:v>
      </x:c>
      <x:c r="S929" s="14" t="str">
        <x:v>db978acf18dac28f4de1412839ca1f804302c6a29b971b024595369afa69cbea</x:v>
      </x:c>
      <x:c r="T929" s="14" t="str">
        <x:v>CC BY-SA 4.0（正文）；示例代码依作者仓库许可</x:v>
      </x:c>
      <x:c r="U929" s="19" t="n">
        <x:v>46303</x:v>
      </x:c>
    </x:row>
    <x:row r="930" ht="68" customHeight="1">
      <x:c r="A930" s="14" t="str">
        <x:v>D-3787F790</x:v>
      </x:c>
      <x:c r="B930" s="14" t="str">
        <x:v>已内置</x:v>
      </x:c>
      <x:c r="C930" s="14" t="str">
        <x:v>quantreg 官方 vignette（Koenker 撰写）</x:v>
      </x:c>
      <x:c r="D930" s="14" t="str">
        <x:v>英文</x:v>
      </x:c>
      <x:c r="E930" s="15" t="str">
        <x:v>未处理</x:v>
      </x:c>
      <x:c r="F930" s="15" t="str"/>
      <x:c r="G930" s="16" t="str">
        <x:v>https://cran.r-project.org/web/packages/quantreg/vignettes/rq.pdf</x:v>
      </x:c>
      <x:c r="H930" s="14" t="str">
        <x:v>D09</x:v>
      </x:c>
      <x:c r="I930" s="14" t="str">
        <x:v>Roger Koenker（分位数回归提出者）</x:v>
      </x:c>
      <x:c r="J930" s="18" t="str"/>
      <x:c r="K930" s="14" t="str">
        <x:v>教程 / 原文</x:v>
      </x:c>
      <x:c r="L930" s="14" t="str">
        <x:v>优先</x:v>
      </x:c>
      <x:c r="M930" s="14" t="str">
        <x:v>完整 PDF 已验证，共 21 页。</x:v>
      </x:c>
      <x:c r="N930" s="14" t="str">
        <x:v>已随应用内置，可直接打开；无需重复下载。</x:v>
      </x:c>
      <x:c r="O930" s="14" t="str">
        <x:v>按关联方法选读。提出者本人写的包文档，从损失函数的几何讲到实际估计与推断，例子简洁且都可跑</x:v>
      </x:c>
      <x:c r="P930" s="14" t="str"/>
      <x:c r="Q930" s="14" t="str">
        <x:v>books/reading-3787f79032.pdf</x:v>
      </x:c>
      <x:c r="R930" s="17" t="n">
        <x:v>0.18699169158935547</x:v>
      </x:c>
      <x:c r="S930" s="14" t="str">
        <x:v>1ddd8e7afecb315f1ff1659fe06b6d0f33e7e76ba38c4fe0c3a4820d2322cb6b</x:v>
      </x:c>
      <x:c r="T930" s="14" t="str">
        <x:v>作者、高校或官方公开文件；保留原著版权页，具体使用条件见原文</x:v>
      </x:c>
      <x:c r="U930" s="19" t="n">
        <x:v>46303</x:v>
      </x:c>
    </x:row>
    <x:row r="931" ht="68" customHeight="1">
      <x:c r="A931" s="14" t="str">
        <x:v>D-339B829C</x:v>
      </x:c>
      <x:c r="B931" s="14" t="str">
        <x:v>已内置</x:v>
      </x:c>
      <x:c r="C931" s="14" t="str">
        <x:v>quantreg · 分位数回归参考手册</x:v>
      </x:c>
      <x:c r="D931" s="14" t="str">
        <x:v>英文</x:v>
      </x:c>
      <x:c r="E931" s="15" t="str">
        <x:v>未处理</x:v>
      </x:c>
      <x:c r="F931" s="15" t="str"/>
      <x:c r="G931" s="16" t="str">
        <x:v>https://cran.r-project.org/web/packages/quantreg/quantreg.pdf</x:v>
      </x:c>
      <x:c r="H931" s="14" t="str">
        <x:v>D09；D10；O05</x:v>
      </x:c>
      <x:c r="I931" s="14" t="str">
        <x:v>Roger Koenker 等</x:v>
      </x:c>
      <x:c r="J931" s="18" t="str"/>
      <x:c r="K931" s="14" t="str">
        <x:v>R 说明书</x:v>
      </x:c>
      <x:c r="L931" s="14" t="str">
        <x:v>优先</x:v>
      </x:c>
      <x:c r="M931" s="14" t="str">
        <x:v>完整 PDF 已验证，共 113 页。</x:v>
      </x:c>
      <x:c r="N931" s="14" t="str">
        <x:v>已随应用内置，可直接打开；无需重复下载。</x:v>
      </x:c>
      <x:c r="O931" s="14" t="str">
        <x:v>先查 Description 与 Examples，结合方法卡的中文步骤阅读；函数参数表用于查阅。</x:v>
      </x:c>
      <x:c r="P931" s="14" t="str"/>
      <x:c r="Q931" s="14" t="str">
        <x:v>books/manual-quantreg.pdf</x:v>
      </x:c>
      <x:c r="R931" s="17" t="n">
        <x:v>0.423828125</x:v>
      </x:c>
      <x:c r="S931" s="14" t="str">
        <x:v>afa44224a99d8763eedbd7df99c87982110c8ce57d2849c51fac37300a11f838</x:v>
      </x:c>
      <x:c r="T931" s="14" t="str">
        <x:v>CRAN 包参考手册；License 字段与原始版权信息保留在文件内</x:v>
      </x:c>
      <x:c r="U931" s="19" t="n">
        <x:v>46303</x:v>
      </x:c>
    </x:row>
    <x:row r="932" ht="68" customHeight="1">
      <x:c r="A932" s="14" t="str">
        <x:v>D-1C7EEA2A</x:v>
      </x:c>
      <x:c r="B932" s="14" t="str">
        <x:v>已内置</x:v>
      </x:c>
      <x:c r="C932" s="14" t="str">
        <x:v>mgcv · 广义加性模型参考手册</x:v>
      </x:c>
      <x:c r="D932" s="14" t="str">
        <x:v>英文</x:v>
      </x:c>
      <x:c r="E932" s="15" t="str">
        <x:v>未处理</x:v>
      </x:c>
      <x:c r="F932" s="15" t="str"/>
      <x:c r="G932" s="16" t="str">
        <x:v>https://cran.r-project.org/web/packages/mgcv/mgcv.pdf</x:v>
      </x:c>
      <x:c r="H932" s="14" t="str">
        <x:v>D11；H03</x:v>
      </x:c>
      <x:c r="I932" s="14" t="str">
        <x:v>Simon Wood</x:v>
      </x:c>
      <x:c r="J932" s="18" t="str"/>
      <x:c r="K932" s="14" t="str">
        <x:v>R 说明书</x:v>
      </x:c>
      <x:c r="L932" s="14" t="str">
        <x:v>优先</x:v>
      </x:c>
      <x:c r="M932" s="14" t="str">
        <x:v>完整 PDF 已验证，共 355 页。</x:v>
      </x:c>
      <x:c r="N932" s="14" t="str">
        <x:v>已随应用内置，可直接打开；无需重复下载。</x:v>
      </x:c>
      <x:c r="O932" s="14" t="str">
        <x:v>先查 Description 与 Examples，结合方法卡的中文步骤阅读；函数参数表用于查阅。</x:v>
      </x:c>
      <x:c r="P932" s="14" t="str"/>
      <x:c r="Q932" s="14" t="str">
        <x:v>books/manual-mgcv.pdf</x:v>
      </x:c>
      <x:c r="R932" s="17" t="n">
        <x:v>1.0962581634521484</x:v>
      </x:c>
      <x:c r="S932" s="14" t="str">
        <x:v>cdccee78195e4dd9c62d3dde4cfdecbc7acf7c704bf985fd70b7033279e04b8e</x:v>
      </x:c>
      <x:c r="T932" s="14" t="str">
        <x:v>CRAN 包参考手册；License 字段与原始版权信息保留在文件内</x:v>
      </x:c>
      <x:c r="U932" s="19" t="n">
        <x:v>46303</x:v>
      </x:c>
    </x:row>
    <x:row r="933" ht="68" customHeight="1">
      <x:c r="A933" s="14" t="str">
        <x:v>D-0822CCBE</x:v>
      </x:c>
      <x:c r="B933" s="14" t="str">
        <x:v>已内置</x:v>
      </x:c>
      <x:c r="C933" s="14" t="str">
        <x:v>Mplus 官方 RI-CLPM 语法 PDF</x:v>
      </x:c>
      <x:c r="D933" s="14" t="str">
        <x:v>英文</x:v>
      </x:c>
      <x:c r="E933" s="15" t="str">
        <x:v>未处理</x:v>
      </x:c>
      <x:c r="F933" s="15" t="str"/>
      <x:c r="G933" s="16" t="str">
        <x:v>https://www.statmodel.com/download/RI-CLPM%20Hamaker%20input.pdf</x:v>
      </x:c>
      <x:c r="H933" s="14" t="str">
        <x:v>E08</x:v>
      </x:c>
      <x:c r="I933" s="14" t="str">
        <x:v>方法/软件项目</x:v>
      </x:c>
      <x:c r="J933" s="18" t="str"/>
      <x:c r="K933" s="14" t="str">
        <x:v>教程 / 原文</x:v>
      </x:c>
      <x:c r="L933" s="14" t="str">
        <x:v>优先</x:v>
      </x:c>
      <x:c r="M933" s="14" t="str">
        <x:v>完整 PDF 已验证，共 15 页。</x:v>
      </x:c>
      <x:c r="N933" s="14" t="str">
        <x:v>已随应用内置，可直接打开；无需重复下载。</x:v>
      </x:c>
      <x:c r="O933" s="14" t="str">
        <x:v>按关联方法选读。本条目的方法说明、参数、示例或诊断入口。</x:v>
      </x:c>
      <x:c r="P933" s="14" t="str"/>
      <x:c r="Q933" s="14" t="str">
        <x:v>books/reading-5589ffa8a5.pdf</x:v>
      </x:c>
      <x:c r="R933" s="17" t="n">
        <x:v>0.3380718231201172</x:v>
      </x:c>
      <x:c r="S933" s="14" t="str">
        <x:v>749223a7b0d59c6b4e1a48bfb67de6d9564c9d172660daf031019845773b38df</x:v>
      </x:c>
      <x:c r="T933" s="14" t="str">
        <x:v>作者、高校或官方公开文件；保留原著版权页，具体使用条件见原文</x:v>
      </x:c>
      <x:c r="U933" s="19" t="n">
        <x:v>46303</x:v>
      </x:c>
    </x:row>
    <x:row r="934" ht="68" customHeight="1">
      <x:c r="A934" s="14" t="str">
        <x:v>D-31155E4B</x:v>
      </x:c>
      <x:c r="B934" s="14" t="str">
        <x:v>已内置</x:v>
      </x:c>
      <x:c r="C934" s="14" t="str">
        <x:v>blavaan: Bayesian Structural Equation Models via Parameter Expansion</x:v>
      </x:c>
      <x:c r="D934" s="14" t="str">
        <x:v>英文</x:v>
      </x:c>
      <x:c r="E934" s="15" t="str">
        <x:v>未处理</x:v>
      </x:c>
      <x:c r="F934" s="15" t="str"/>
      <x:c r="G934" s="16" t="str">
        <x:v>https://doi.org/10.18637/jss.v085.i04</x:v>
      </x:c>
      <x:c r="H934" s="14" t="str">
        <x:v>E10</x:v>
      </x:c>
      <x:c r="I934" s="14" t="str">
        <x:v>Edgar C. Merkle; Yves Rosseel</x:v>
      </x:c>
      <x:c r="J934" s="18" t="n">
        <x:v>2018</x:v>
      </x:c>
      <x:c r="K934" s="14" t="str">
        <x:v>研究论文 / 教程</x:v>
      </x:c>
      <x:c r="L934" s="14" t="str">
        <x:v>优先</x:v>
      </x:c>
      <x:c r="M934" s="14" t="str">
        <x:v>完整 PDF 已验证，共 30 页。</x:v>
      </x:c>
      <x:c r="N934" s="14" t="str">
        <x:v>已随应用内置，可直接打开；无需重复下载。</x:v>
      </x:c>
      <x:c r="O934" s="14" t="str">
        <x:v>贝叶斯结构方程教程。先读先验设定、模型语法与估计诊断，再看参数扩展。</x:v>
      </x:c>
      <x:c r="P934" s="14" t="str">
        <x:v>10.18637/jss.v085.i04</x:v>
      </x:c>
      <x:c r="Q934" s="14" t="str">
        <x:v>books/paper-v085i04.pdf</x:v>
      </x:c>
      <x:c r="R934" s="17" t="n">
        <x:v>0.7317028045654297</x:v>
      </x:c>
      <x:c r="S934" s="14" t="str">
        <x:v>f64b7dfc00d7816f8e5d1328b1c460e9b51e5963266d3c5193e94acce5d826bd</x:v>
      </x:c>
      <x:c r="T934" s="14" t="str">
        <x:v>JSS 开放获取，CC BY 3.0；保留原文、作者和来源</x:v>
      </x:c>
      <x:c r="U934" s="19" t="n">
        <x:v>46303</x:v>
      </x:c>
    </x:row>
    <x:row r="935" ht="68" customHeight="1">
      <x:c r="A935" s="14" t="str">
        <x:v>D-66CE915B</x:v>
      </x:c>
      <x:c r="B935" s="14" t="str">
        <x:v>已内置</x:v>
      </x:c>
      <x:c r="C935" s="14" t="str">
        <x:v>Fitting Linear Mixed-Effects Models Using lme4</x:v>
      </x:c>
      <x:c r="D935" s="14" t="str">
        <x:v>英文</x:v>
      </x:c>
      <x:c r="E935" s="15" t="str">
        <x:v>未处理</x:v>
      </x:c>
      <x:c r="F935" s="15" t="str"/>
      <x:c r="G935" s="16" t="str">
        <x:v>https://doi.org/10.18637/jss.v067.i01</x:v>
      </x:c>
      <x:c r="H935" s="14" t="str">
        <x:v>F01；F02；F03</x:v>
      </x:c>
      <x:c r="I935" s="14" t="str">
        <x:v>Douglas Bates; Martin Mächler; Ben Bolker; Steve Walker</x:v>
      </x:c>
      <x:c r="J935" s="18" t="n">
        <x:v>2015</x:v>
      </x:c>
      <x:c r="K935" s="14" t="str">
        <x:v>研究论文 / 教程</x:v>
      </x:c>
      <x:c r="L935" s="14" t="str">
        <x:v>优先</x:v>
      </x:c>
      <x:c r="M935" s="14" t="str">
        <x:v>完整 PDF 已验证，共 48 页。</x:v>
      </x:c>
      <x:c r="N935" s="14" t="str">
        <x:v>已随应用内置，可直接打开；无需重复下载。</x:v>
      </x:c>
      <x:c r="O935" s="14" t="str">
        <x:v>结合 sleepstudy 示例理解固定部分、随机部分与模型比较；它是软件原始教程，函数细节请与当前手册对照。</x:v>
      </x:c>
      <x:c r="P935" s="14" t="str">
        <x:v>10.18637/jss.v067.i01</x:v>
      </x:c>
      <x:c r="Q935" s="14" t="str">
        <x:v>books/paper-v067i01.pdf</x:v>
      </x:c>
      <x:c r="R935" s="17" t="n">
        <x:v>0.8257045745849609</x:v>
      </x:c>
      <x:c r="S935" s="14" t="str">
        <x:v>a9ae8934fbe46ac4c3a6d333a75c2c815f9d2ed7725d7613ddce1d5a5244bbff</x:v>
      </x:c>
      <x:c r="T935" s="14" t="str">
        <x:v>JSS 开放获取，CC BY 3.0；保留原文、作者和来源</x:v>
      </x:c>
      <x:c r="U935" s="19" t="n">
        <x:v>46303</x:v>
      </x:c>
    </x:row>
    <x:row r="936" ht="68" customHeight="1">
      <x:c r="A936" s="14" t="str">
        <x:v>D-7CA39E16</x:v>
      </x:c>
      <x:c r="B936" s="14" t="str">
        <x:v>已内置</x:v>
      </x:c>
      <x:c r="C936" s="14" t="str">
        <x:v>lme4 · 混合效应模型参考手册</x:v>
      </x:c>
      <x:c r="D936" s="14" t="str">
        <x:v>英文</x:v>
      </x:c>
      <x:c r="E936" s="15" t="str">
        <x:v>未处理</x:v>
      </x:c>
      <x:c r="F936" s="15" t="str"/>
      <x:c r="G936" s="16" t="str">
        <x:v>https://cran.r-project.org/web/packages/lme4/lme4.pdf</x:v>
      </x:c>
      <x:c r="H936" s="14" t="str">
        <x:v>F01；F02；F03；F04；F05；F07；F08</x:v>
      </x:c>
      <x:c r="I936" s="14" t="str">
        <x:v>Douglas Bates 等</x:v>
      </x:c>
      <x:c r="J936" s="18" t="str"/>
      <x:c r="K936" s="14" t="str">
        <x:v>R 说明书</x:v>
      </x:c>
      <x:c r="L936" s="14" t="str">
        <x:v>优先</x:v>
      </x:c>
      <x:c r="M936" s="14" t="str">
        <x:v>完整 PDF 已验证，共 144 页。</x:v>
      </x:c>
      <x:c r="N936" s="14" t="str">
        <x:v>已随应用内置，可直接打开；无需重复下载。</x:v>
      </x:c>
      <x:c r="O936" s="14" t="str">
        <x:v>先查 Description 与 Examples，结合方法卡的中文步骤阅读；函数参数表用于查阅。</x:v>
      </x:c>
      <x:c r="P936" s="14" t="str"/>
      <x:c r="Q936" s="14" t="str">
        <x:v>books/manual-lme4.pdf</x:v>
      </x:c>
      <x:c r="R936" s="17" t="n">
        <x:v>0.5596933364868164</x:v>
      </x:c>
      <x:c r="S936" s="14" t="str">
        <x:v>4e4faf83522214402c69a6ed3cfa2b6c8ee96e034fddbce079b2513672a1985c</x:v>
      </x:c>
      <x:c r="T936" s="14" t="str">
        <x:v>CRAN 包参考手册；License 字段与原始版权信息保留在文件内</x:v>
      </x:c>
      <x:c r="U936" s="19" t="n">
        <x:v>46303</x:v>
      </x:c>
    </x:row>
    <x:row r="937" ht="68" customHeight="1">
      <x:c r="A937" s="14" t="str">
        <x:v>D-CD26F73A</x:v>
      </x:c>
      <x:c r="B937" s="14" t="str">
        <x:v>已内置</x:v>
      </x:c>
      <x:c r="C937" s="14" t="str">
        <x:v>brms: An R Package for Bayesian Multilevel Models Using Stan</x:v>
      </x:c>
      <x:c r="D937" s="14" t="str">
        <x:v>英文</x:v>
      </x:c>
      <x:c r="E937" s="15" t="str">
        <x:v>未处理</x:v>
      </x:c>
      <x:c r="F937" s="15" t="str"/>
      <x:c r="G937" s="16" t="str">
        <x:v>https://doi.org/10.18637/jss.v080.i01</x:v>
      </x:c>
      <x:c r="H937" s="14" t="str">
        <x:v>F01；F02；K01；K02；K03；K05</x:v>
      </x:c>
      <x:c r="I937" s="14" t="str">
        <x:v>Paul-Christian Bürkner</x:v>
      </x:c>
      <x:c r="J937" s="18" t="n">
        <x:v>2017</x:v>
      </x:c>
      <x:c r="K937" s="14" t="str">
        <x:v>研究论文 / 教程</x:v>
      </x:c>
      <x:c r="L937" s="14" t="str">
        <x:v>优先</x:v>
      </x:c>
      <x:c r="M937" s="14" t="str">
        <x:v>完整 PDF 已验证，共 28 页。</x:v>
      </x:c>
      <x:c r="N937" s="14" t="str">
        <x:v>已随应用内置，可直接打开；无需重复下载。</x:v>
      </x:c>
      <x:c r="O937" s="14" t="str">
        <x:v>2017 年 JSS 开放全文。结合示例理解先验、后验与多层模型；软件细节应与当前手册对照。</x:v>
      </x:c>
      <x:c r="P937" s="14" t="str">
        <x:v>10.18637/jss.v080.i01</x:v>
      </x:c>
      <x:c r="Q937" s="14" t="str">
        <x:v>books/paper-brms.pdf</x:v>
      </x:c>
      <x:c r="R937" s="17" t="n">
        <x:v>1.1189336776733398</x:v>
      </x:c>
      <x:c r="S937" s="14" t="str">
        <x:v>35757e85ffb002fcb6c5dc34fec0daa6a84302d552e7555f2551838c4599fffb</x:v>
      </x:c>
      <x:c r="T937" s="14" t="str">
        <x:v>期刊或作者公开全文；保留原文件与版权信息，使用条件见原文及来源页</x:v>
      </x:c>
      <x:c r="U937" s="19" t="n">
        <x:v>46303</x:v>
      </x:c>
    </x:row>
    <x:row r="938" ht="68" customHeight="1">
      <x:c r="A938" s="14" t="str">
        <x:v>D-0A0925B0</x:v>
      </x:c>
      <x:c r="B938" s="14" t="str">
        <x:v>已内置</x:v>
      </x:c>
      <x:c r="C938" s="14" t="str">
        <x:v>MatchIt · 匹配与观察性研究设计参考手册</x:v>
      </x:c>
      <x:c r="D938" s="14" t="str">
        <x:v>英文</x:v>
      </x:c>
      <x:c r="E938" s="15" t="str">
        <x:v>未处理</x:v>
      </x:c>
      <x:c r="F938" s="15" t="str"/>
      <x:c r="G938" s="16" t="str">
        <x:v>https://cran.r-project.org/web/packages/MatchIt/MatchIt.pdf</x:v>
      </x:c>
      <x:c r="H938" s="14" t="str">
        <x:v>G03；G04</x:v>
      </x:c>
      <x:c r="I938" s="14" t="str">
        <x:v>Daniel Ho 等</x:v>
      </x:c>
      <x:c r="J938" s="18" t="str"/>
      <x:c r="K938" s="14" t="str">
        <x:v>R 说明书</x:v>
      </x:c>
      <x:c r="L938" s="14" t="str">
        <x:v>优先</x:v>
      </x:c>
      <x:c r="M938" s="14" t="str">
        <x:v>完整 PDF 已验证，共 69 页。</x:v>
      </x:c>
      <x:c r="N938" s="14" t="str">
        <x:v>已随应用内置，可直接打开；无需重复下载。</x:v>
      </x:c>
      <x:c r="O938" s="14" t="str">
        <x:v>先查 Description 与 Examples，结合方法卡的中文步骤阅读；函数参数表用于查阅。</x:v>
      </x:c>
      <x:c r="P938" s="14" t="str"/>
      <x:c r="Q938" s="14" t="str">
        <x:v>books/manual-MatchIt.pdf</x:v>
      </x:c>
      <x:c r="R938" s="17" t="n">
        <x:v>0.34375762939453125</x:v>
      </x:c>
      <x:c r="S938" s="14" t="str">
        <x:v>42795a099b91d561845397c4bdb58dda0fc920adbe25f3f0baecf7a977e8ca4a</x:v>
      </x:c>
      <x:c r="T938" s="14" t="str">
        <x:v>CRAN 包参考手册；License 字段与原始版权信息保留在文件内</x:v>
      </x:c>
      <x:c r="U938" s="19" t="n">
        <x:v>46303</x:v>
      </x:c>
    </x:row>
    <x:row r="939" ht="68" customHeight="1">
      <x:c r="A939" s="14" t="str">
        <x:v>D-B86E9E08</x:v>
      </x:c>
      <x:c r="B939" s="14" t="str">
        <x:v>已内置</x:v>
      </x:c>
      <x:c r="C939" s="14" t="str">
        <x:v>MatchIt: Nonparametric Preprocessing for Parametric Causal Inference</x:v>
      </x:c>
      <x:c r="D939" s="14" t="str">
        <x:v>英文</x:v>
      </x:c>
      <x:c r="E939" s="15" t="str">
        <x:v>未处理</x:v>
      </x:c>
      <x:c r="F939" s="15" t="str"/>
      <x:c r="G939" s="16" t="str">
        <x:v>https://doi.org/10.18637/jss.v042.i08</x:v>
      </x:c>
      <x:c r="H939" s="14" t="str">
        <x:v>G03；G04</x:v>
      </x:c>
      <x:c r="I939" s="14" t="str">
        <x:v>Daniel Ho; Kosuke Imai; Gary King; Elizabeth A. Stuart</x:v>
      </x:c>
      <x:c r="J939" s="18" t="n">
        <x:v>2011</x:v>
      </x:c>
      <x:c r="K939" s="14" t="str">
        <x:v>研究论文 / 教程</x:v>
      </x:c>
      <x:c r="L939" s="14" t="str">
        <x:v>优先</x:v>
      </x:c>
      <x:c r="M939" s="14" t="str">
        <x:v>完整 PDF 已验证，共 28 页。</x:v>
      </x:c>
      <x:c r="N939" s="14" t="str">
        <x:v>已随应用内置，可直接打开；无需重复下载。</x:v>
      </x:c>
      <x:c r="O939" s="14" t="str">
        <x:v>理解匹配为何属于研究设计和预处理，并检查重叠性与平衡；匹配不自动解决未观测混杂。</x:v>
      </x:c>
      <x:c r="P939" s="14" t="str">
        <x:v>10.18637/jss.v042.i08</x:v>
      </x:c>
      <x:c r="Q939" s="14" t="str">
        <x:v>books/paper-v042i08.pdf</x:v>
      </x:c>
      <x:c r="R939" s="17" t="n">
        <x:v>0.8865699768066406</x:v>
      </x:c>
      <x:c r="S939" s="14" t="str">
        <x:v>403aedd7a374813eafae531ba0e139f521b6d385b06ee0f9ba0b5f904e70128e</x:v>
      </x:c>
      <x:c r="T939" s="14" t="str">
        <x:v>JSS 开放获取，CC BY 3.0；保留原文、作者和来源</x:v>
      </x:c>
      <x:c r="U939" s="19" t="n">
        <x:v>46303</x:v>
      </x:c>
    </x:row>
    <x:row r="940" ht="68" customHeight="1">
      <x:c r="A940" s="14" t="str">
        <x:v>D-1E4E7A10</x:v>
      </x:c>
      <x:c r="B940" s="14" t="str">
        <x:v>已内置</x:v>
      </x:c>
      <x:c r="C940" s="14" t="str">
        <x:v>rdrobust · 断点回归参考手册</x:v>
      </x:c>
      <x:c r="D940" s="14" t="str">
        <x:v>英文</x:v>
      </x:c>
      <x:c r="E940" s="15" t="str">
        <x:v>未处理</x:v>
      </x:c>
      <x:c r="F940" s="15" t="str"/>
      <x:c r="G940" s="16" t="str">
        <x:v>https://cran.r-project.org/web/packages/rdrobust/rdrobust.pdf</x:v>
      </x:c>
      <x:c r="H940" s="14" t="str">
        <x:v>G06</x:v>
      </x:c>
      <x:c r="I940" s="14" t="str">
        <x:v>Sebastian Calonico 等</x:v>
      </x:c>
      <x:c r="J940" s="18" t="str"/>
      <x:c r="K940" s="14" t="str">
        <x:v>R 说明书</x:v>
      </x:c>
      <x:c r="L940" s="14" t="str">
        <x:v>优先</x:v>
      </x:c>
      <x:c r="M940" s="14" t="str">
        <x:v>完整 PDF 已验证，共 21 页。</x:v>
      </x:c>
      <x:c r="N940" s="14" t="str">
        <x:v>已随应用内置，可直接打开；无需重复下载。</x:v>
      </x:c>
      <x:c r="O940" s="14" t="str">
        <x:v>先查 Description 与 Examples，结合方法卡的中文步骤阅读；函数参数表用于查阅。</x:v>
      </x:c>
      <x:c r="P940" s="14" t="str"/>
      <x:c r="Q940" s="14" t="str">
        <x:v>books/manual-rdrobust.pdf</x:v>
      </x:c>
      <x:c r="R940" s="17" t="n">
        <x:v>0.21047496795654297</x:v>
      </x:c>
      <x:c r="S940" s="14" t="str">
        <x:v>35658da23196e8470ec2ecb7ced38e88e4e92474dcde98ba8b5ada843b185f14</x:v>
      </x:c>
      <x:c r="T940" s="14" t="str">
        <x:v>CRAN 包参考手册；License 字段与原始版权信息保留在文件内</x:v>
      </x:c>
      <x:c r="U940" s="19" t="n">
        <x:v>46303</x:v>
      </x:c>
    </x:row>
    <x:row r="941" ht="68" customHeight="1">
      <x:c r="A941" s="14" t="str">
        <x:v>D-40B55A7A</x:v>
      </x:c>
      <x:c r="B941" s="14" t="str">
        <x:v>已内置</x:v>
      </x:c>
      <x:c r="C941" s="14" t="str">
        <x:v>did · 多期双重差分参考手册</x:v>
      </x:c>
      <x:c r="D941" s="14" t="str">
        <x:v>英文</x:v>
      </x:c>
      <x:c r="E941" s="15" t="str">
        <x:v>未处理</x:v>
      </x:c>
      <x:c r="F941" s="15" t="str"/>
      <x:c r="G941" s="16" t="str">
        <x:v>https://cran.r-project.org/web/packages/did/did.pdf</x:v>
      </x:c>
      <x:c r="H941" s="14" t="str">
        <x:v>G07；G08</x:v>
      </x:c>
      <x:c r="I941" s="14" t="str">
        <x:v>Brantly Callaway &amp; Pedro H. C. Sant’Anna</x:v>
      </x:c>
      <x:c r="J941" s="18" t="str"/>
      <x:c r="K941" s="14" t="str">
        <x:v>R 说明书</x:v>
      </x:c>
      <x:c r="L941" s="14" t="str">
        <x:v>优先</x:v>
      </x:c>
      <x:c r="M941" s="14" t="str">
        <x:v>完整 PDF 已验证，共 50 页。</x:v>
      </x:c>
      <x:c r="N941" s="14" t="str">
        <x:v>已随应用内置，可直接打开；无需重复下载。</x:v>
      </x:c>
      <x:c r="O941" s="14" t="str">
        <x:v>先查 Description 与 Examples，结合方法卡的中文步骤阅读；函数参数表用于查阅。</x:v>
      </x:c>
      <x:c r="P941" s="14" t="str"/>
      <x:c r="Q941" s="14" t="str">
        <x:v>books/manual-did.pdf</x:v>
      </x:c>
      <x:c r="R941" s="17" t="n">
        <x:v>0.20057392120361328</x:v>
      </x:c>
      <x:c r="S941" s="14" t="str">
        <x:v>afce34dc837b9d51a21e69406130500712ea29b8687395cef082e401cbe2d828</x:v>
      </x:c>
      <x:c r="T941" s="14" t="str">
        <x:v>CRAN 包参考手册；License 字段与原始版权信息保留在文件内</x:v>
      </x:c>
      <x:c r="U941" s="19" t="n">
        <x:v>46303</x:v>
      </x:c>
    </x:row>
    <x:row r="942" ht="68" customHeight="1">
      <x:c r="A942" s="14" t="str">
        <x:v>D-A48DE543</x:v>
      </x:c>
      <x:c r="B942" s="14" t="str">
        <x:v>已内置</x:v>
      </x:c>
      <x:c r="C942" s="14" t="str">
        <x:v>Difference-in-Differences with Multiple Time Periods · 作者公开稿</x:v>
      </x:c>
      <x:c r="D942" s="14" t="str">
        <x:v>英文</x:v>
      </x:c>
      <x:c r="E942" s="15" t="str">
        <x:v>未处理</x:v>
      </x:c>
      <x:c r="F942" s="15" t="str"/>
      <x:c r="G942" s="16" t="str">
        <x:v>https://doi.org/10.1016/j.jeconom.2020.12.001</x:v>
      </x:c>
      <x:c r="H942" s="14" t="str">
        <x:v>G07；G08；G17</x:v>
      </x:c>
      <x:c r="I942" s="14" t="str">
        <x:v>Brantly Callaway &amp; Pedro H. C. Sant’Anna</x:v>
      </x:c>
      <x:c r="J942" s="18" t="n">
        <x:v>2021</x:v>
      </x:c>
      <x:c r="K942" s="14" t="str">
        <x:v>研究论文 / 教程</x:v>
      </x:c>
      <x:c r="L942" s="14" t="str">
        <x:v>优先</x:v>
      </x:c>
      <x:c r="M942" s="14" t="str">
        <x:v>完整 PDF 已验证，共 45 页。</x:v>
      </x:c>
      <x:c r="N942" s="14" t="str">
        <x:v>已随应用内置，可直接打开；无需重复下载。</x:v>
      </x:c>
      <x:c r="O942" s="14" t="str">
        <x:v>内置的是 2020-12-01 作者公开稿，非出版社排印版。先看多期政策评估的问题与分组—时点效应，再读最低工资案例。</x:v>
      </x:c>
      <x:c r="P942" s="14" t="str">
        <x:v>10.1016/j.jeconom.2020.12.001</x:v>
      </x:c>
      <x:c r="Q942" s="14" t="str">
        <x:v>books/paper-did.pdf</x:v>
      </x:c>
      <x:c r="R942" s="17" t="n">
        <x:v>0.7897739410400391</x:v>
      </x:c>
      <x:c r="S942" s="14" t="str">
        <x:v>88cdd094589af58608a0d6675a00b57f36c8583d5f1e40e892e06a700307867f</x:v>
      </x:c>
      <x:c r="T942" s="14" t="str">
        <x:v>期刊或作者公开全文；保留原文件与版权信息，使用条件见原文及来源页</x:v>
      </x:c>
      <x:c r="U942" s="19" t="n">
        <x:v>46303</x:v>
      </x:c>
    </x:row>
    <x:row r="943" ht="68" customHeight="1">
      <x:c r="A943" s="14" t="str">
        <x:v>D-5A314A89</x:v>
      </x:c>
      <x:c r="B943" s="14" t="str">
        <x:v>已内置</x:v>
      </x:c>
      <x:c r="C943" s="14" t="str">
        <x:v>Synth · 合成控制法参考手册</x:v>
      </x:c>
      <x:c r="D943" s="14" t="str">
        <x:v>英文</x:v>
      </x:c>
      <x:c r="E943" s="15" t="str">
        <x:v>未处理</x:v>
      </x:c>
      <x:c r="F943" s="15" t="str"/>
      <x:c r="G943" s="16" t="str">
        <x:v>https://cran.r-project.org/web/packages/Synth/Synth.pdf</x:v>
      </x:c>
      <x:c r="H943" s="14" t="str">
        <x:v>G09</x:v>
      </x:c>
      <x:c r="I943" s="14" t="str">
        <x:v>Jens Hainmueller 等</x:v>
      </x:c>
      <x:c r="J943" s="18" t="str"/>
      <x:c r="K943" s="14" t="str">
        <x:v>R 说明书</x:v>
      </x:c>
      <x:c r="L943" s="14" t="str">
        <x:v>优先</x:v>
      </x:c>
      <x:c r="M943" s="14" t="str">
        <x:v>完整 PDF 已验证，共 22 页。</x:v>
      </x:c>
      <x:c r="N943" s="14" t="str">
        <x:v>已随应用内置，可直接打开；无需重复下载。</x:v>
      </x:c>
      <x:c r="O943" s="14" t="str">
        <x:v>先查 Description 与 Examples，结合方法卡的中文步骤阅读；函数参数表用于查阅。</x:v>
      </x:c>
      <x:c r="P943" s="14" t="str"/>
      <x:c r="Q943" s="14" t="str">
        <x:v>books/manual-Synth.pdf</x:v>
      </x:c>
      <x:c r="R943" s="17" t="n">
        <x:v>0.13049030303955078</x:v>
      </x:c>
      <x:c r="S943" s="14" t="str">
        <x:v>7a36323fe4ee3c1392612863ab2ae6e0610f540d40aaa4fae78dd8430db7f09f</x:v>
      </x:c>
      <x:c r="T943" s="14" t="str">
        <x:v>CRAN 包参考手册；License 字段与原始版权信息保留在文件内</x:v>
      </x:c>
      <x:c r="U943" s="19" t="n">
        <x:v>46303</x:v>
      </x:c>
    </x:row>
    <x:row r="944" ht="68" customHeight="1">
      <x:c r="A944" s="14" t="str">
        <x:v>D-74A457F5</x:v>
      </x:c>
      <x:c r="B944" s="14" t="str">
        <x:v>已内置</x:v>
      </x:c>
      <x:c r="C944" s="14" t="str">
        <x:v>Double/Debiased Machine Learning for Treatment and Causal Parameters · 作者公开稿</x:v>
      </x:c>
      <x:c r="D944" s="14" t="str">
        <x:v>英文</x:v>
      </x:c>
      <x:c r="E944" s="15" t="str">
        <x:v>未处理</x:v>
      </x:c>
      <x:c r="F944" s="15" t="str"/>
      <x:c r="G944" s="16" t="str">
        <x:v>https://arxiv.org/abs/1608.00060</x:v>
      </x:c>
      <x:c r="H944" s="14" t="str">
        <x:v>G11；G13；G17</x:v>
      </x:c>
      <x:c r="I944" s="14" t="str">
        <x:v>Victor Chernozhukov 等</x:v>
      </x:c>
      <x:c r="J944" s="18" t="str"/>
      <x:c r="K944" s="14" t="str">
        <x:v>研究论文 / 教程</x:v>
      </x:c>
      <x:c r="L944" s="14" t="str">
        <x:v>优先</x:v>
      </x:c>
      <x:c r="M944" s="14" t="str">
        <x:v>完整 PDF 已验证，共 71 页。</x:v>
      </x:c>
      <x:c r="N944" s="14" t="str">
        <x:v>已随应用内置，可直接打开；无需重复下载。</x:v>
      </x:c>
      <x:c r="O944" s="14" t="str">
        <x:v>内置的是 arXiv 2024-11-03 修订稿，题名与 2018 年期刊论文不同。先理解正交化和交叉拟合为何用于因果参数，而不只用于预测。</x:v>
      </x:c>
      <x:c r="P944" s="14" t="str"/>
      <x:c r="Q944" s="14" t="str">
        <x:v>books/paper-dml.pdf</x:v>
      </x:c>
      <x:c r="R944" s="17" t="n">
        <x:v>1.0690650939941406</x:v>
      </x:c>
      <x:c r="S944" s="14" t="str">
        <x:v>3186133dacb9f4a31c004a00150627de1e5cf26e203d1522a25a5444c7dbdf78</x:v>
      </x:c>
      <x:c r="T944" s="14" t="str">
        <x:v>期刊或作者公开全文；保留原文件与版权信息，使用条件见原文及来源页</x:v>
      </x:c>
      <x:c r="U944" s="19" t="n">
        <x:v>46303</x:v>
      </x:c>
    </x:row>
    <x:row r="945" ht="68" customHeight="1">
      <x:c r="A945" s="14" t="str">
        <x:v>D-27C1C114</x:v>
      </x:c>
      <x:c r="B945" s="14" t="str">
        <x:v>已内置</x:v>
      </x:c>
      <x:c r="C945" s="14" t="str">
        <x:v>grf · 广义随机森林参考手册</x:v>
      </x:c>
      <x:c r="D945" s="14" t="str">
        <x:v>英文</x:v>
      </x:c>
      <x:c r="E945" s="15" t="str">
        <x:v>未处理</x:v>
      </x:c>
      <x:c r="F945" s="15" t="str"/>
      <x:c r="G945" s="16" t="str">
        <x:v>https://cran.r-project.org/web/packages/grf/grf.pdf</x:v>
      </x:c>
      <x:c r="H945" s="14" t="str">
        <x:v>G11；G13；J01</x:v>
      </x:c>
      <x:c r="I945" s="14" t="str">
        <x:v>Julie Tibshirani 等</x:v>
      </x:c>
      <x:c r="J945" s="18" t="str"/>
      <x:c r="K945" s="14" t="str">
        <x:v>R 说明书</x:v>
      </x:c>
      <x:c r="L945" s="14" t="str">
        <x:v>优先</x:v>
      </x:c>
      <x:c r="M945" s="14" t="str">
        <x:v>完整 PDF 已验证，共 91 页。</x:v>
      </x:c>
      <x:c r="N945" s="14" t="str">
        <x:v>已随应用内置，可直接打开；无需重复下载。</x:v>
      </x:c>
      <x:c r="O945" s="14" t="str">
        <x:v>先查 Description 与 Examples，结合方法卡的中文步骤阅读；函数参数表用于查阅。</x:v>
      </x:c>
      <x:c r="P945" s="14" t="str"/>
      <x:c r="Q945" s="14" t="str">
        <x:v>books/manual-grf.pdf</x:v>
      </x:c>
      <x:c r="R945" s="17" t="n">
        <x:v>0.33609580993652344</x:v>
      </x:c>
      <x:c r="S945" s="14" t="str">
        <x:v>d499e49d026180f26a3bcdd5348837dcef749a3a3f5030418d7ab75eef5f7f05</x:v>
      </x:c>
      <x:c r="T945" s="14" t="str">
        <x:v>CRAN 包参考手册；License 字段与原始版权信息保留在文件内</x:v>
      </x:c>
      <x:c r="U945" s="19" t="n">
        <x:v>46303</x:v>
      </x:c>
    </x:row>
    <x:row r="946" ht="68" customHeight="1">
      <x:c r="A946" s="14" t="str">
        <x:v>D-516057CF</x:v>
      </x:c>
      <x:c r="B946" s="14" t="str">
        <x:v>已内置</x:v>
      </x:c>
      <x:c r="C946" s="14" t="str">
        <x:v>DoubleML: An Object-Oriented Implementation of Double Machine Learning in R</x:v>
      </x:c>
      <x:c r="D946" s="14" t="str">
        <x:v>英文</x:v>
      </x:c>
      <x:c r="E946" s="15" t="str">
        <x:v>未处理</x:v>
      </x:c>
      <x:c r="F946" s="15" t="str"/>
      <x:c r="G946" s="16" t="str">
        <x:v>https://doi.org/10.18637/jss.v108.i03</x:v>
      </x:c>
      <x:c r="H946" s="14" t="str">
        <x:v>G13</x:v>
      </x:c>
      <x:c r="I946" s="14" t="str">
        <x:v>Philipp Bach; Malte S. Kurz; Victor Chernozhukov; Martin Spindler; Sven Klaassen</x:v>
      </x:c>
      <x:c r="J946" s="18" t="n">
        <x:v>2024</x:v>
      </x:c>
      <x:c r="K946" s="14" t="str">
        <x:v>研究论文 / 教程</x:v>
      </x:c>
      <x:c r="L946" s="14" t="str">
        <x:v>优先</x:v>
      </x:c>
      <x:c r="M946" s="14" t="str">
        <x:v>完整 PDF 已验证，共 56 页。</x:v>
      </x:c>
      <x:c r="N946" s="14" t="str">
        <x:v>已随应用内置，可直接打开；无需重复下载。</x:v>
      </x:c>
      <x:c r="O946" s="14" t="str">
        <x:v>这篇正式题名为 Double Machine Learning in R，是 R 实现教程；不要与 Python 版本的另一篇论文混称。先理解目标量、交叉拟合与正交得分。</x:v>
      </x:c>
      <x:c r="P946" s="14" t="str">
        <x:v>10.18637/jss.v108.i03</x:v>
      </x:c>
      <x:c r="Q946" s="14" t="str">
        <x:v>books/paper-v108i03.pdf</x:v>
      </x:c>
      <x:c r="R946" s="17" t="n">
        <x:v>0.9987897872924805</x:v>
      </x:c>
      <x:c r="S946" s="14" t="str">
        <x:v>11bade04584424c8847085a705666f339cee0c9fcf56b8966e294129494d241f</x:v>
      </x:c>
      <x:c r="T946" s="14" t="str">
        <x:v>JSS 开放获取，CC BY 3.0；保留原文、作者和来源</x:v>
      </x:c>
      <x:c r="U946" s="19" t="n">
        <x:v>46303</x:v>
      </x:c>
    </x:row>
    <x:row r="947" ht="68" customHeight="1">
      <x:c r="A947" s="14" t="str">
        <x:v>D-3D857539</x:v>
      </x:c>
      <x:c r="B947" s="14" t="str">
        <x:v>已内置</x:v>
      </x:c>
      <x:c r="C947" s="14" t="str">
        <x:v>survey · 复杂抽样调查参考手册</x:v>
      </x:c>
      <x:c r="D947" s="14" t="str">
        <x:v>英文</x:v>
      </x:c>
      <x:c r="E947" s="15" t="str">
        <x:v>未处理</x:v>
      </x:c>
      <x:c r="F947" s="15" t="str"/>
      <x:c r="G947" s="16" t="str">
        <x:v>https://cran.r-project.org/web/packages/survey/survey.pdf</x:v>
      </x:c>
      <x:c r="H947" s="14" t="str">
        <x:v>G19；N05；N07；N10</x:v>
      </x:c>
      <x:c r="I947" s="14" t="str">
        <x:v>Thomas Lumley 等</x:v>
      </x:c>
      <x:c r="J947" s="18" t="str"/>
      <x:c r="K947" s="14" t="str">
        <x:v>R 说明书</x:v>
      </x:c>
      <x:c r="L947" s="14" t="str">
        <x:v>优先</x:v>
      </x:c>
      <x:c r="M947" s="14" t="str">
        <x:v>完整 PDF 已验证，共 171 页。</x:v>
      </x:c>
      <x:c r="N947" s="14" t="str">
        <x:v>已随应用内置，可直接打开；无需重复下载。</x:v>
      </x:c>
      <x:c r="O947" s="14" t="str">
        <x:v>先查 Description 与 Examples，结合方法卡的中文步骤阅读；函数参数表用于查阅。</x:v>
      </x:c>
      <x:c r="P947" s="14" t="str"/>
      <x:c r="Q947" s="14" t="str">
        <x:v>books/manual-survey.pdf</x:v>
      </x:c>
      <x:c r="R947" s="17" t="n">
        <x:v>0.5222301483154297</x:v>
      </x:c>
      <x:c r="S947" s="14" t="str">
        <x:v>87b0ea7088e0dfd587b4c4efacd38db68db8268a986a130c1a868ce2088bac2c</x:v>
      </x:c>
      <x:c r="T947" s="14" t="str">
        <x:v>CRAN 包参考手册；License 字段与原始版权信息保留在文件内</x:v>
      </x:c>
      <x:c r="U947" s="19" t="n">
        <x:v>46303</x:v>
      </x:c>
    </x:row>
    <x:row r="948" ht="68" customHeight="1">
      <x:c r="A948" s="14" t="str">
        <x:v>D-E3D1091B</x:v>
      </x:c>
      <x:c r="B948" s="14" t="str">
        <x:v>已内置</x:v>
      </x:c>
      <x:c r="C948" s="14" t="str">
        <x:v>survival · 生存与事件史分析参考手册</x:v>
      </x:c>
      <x:c r="D948" s="14" t="str">
        <x:v>英文</x:v>
      </x:c>
      <x:c r="E948" s="15" t="str">
        <x:v>未处理</x:v>
      </x:c>
      <x:c r="F948" s="15" t="str"/>
      <x:c r="G948" s="16" t="str">
        <x:v>https://cran.r-project.org/web/packages/survival/survival.pdf</x:v>
      </x:c>
      <x:c r="H948" s="14" t="str">
        <x:v>H01；H02；H11</x:v>
      </x:c>
      <x:c r="I948" s="14" t="str">
        <x:v>Terry Therneau 等</x:v>
      </x:c>
      <x:c r="J948" s="18" t="str"/>
      <x:c r="K948" s="14" t="str">
        <x:v>R 说明书</x:v>
      </x:c>
      <x:c r="L948" s="14" t="str">
        <x:v>优先</x:v>
      </x:c>
      <x:c r="M948" s="14" t="str">
        <x:v>完整 PDF 已验证，共 210 页。</x:v>
      </x:c>
      <x:c r="N948" s="14" t="str">
        <x:v>已随应用内置，可直接打开；无需重复下载。</x:v>
      </x:c>
      <x:c r="O948" s="14" t="str">
        <x:v>先查 Description 与 Examples，结合方法卡的中文步骤阅读；函数参数表用于查阅。</x:v>
      </x:c>
      <x:c r="P948" s="14" t="str"/>
      <x:c r="Q948" s="14" t="str">
        <x:v>books/manual-survival.pdf</x:v>
      </x:c>
      <x:c r="R948" s="17" t="n">
        <x:v>0.6659641265869141</x:v>
      </x:c>
      <x:c r="S948" s="14" t="str">
        <x:v>9b46ea79e73e079fc2d224c45ec7f4ccad51b0a9d6afebad7f4c8691d04ed164</x:v>
      </x:c>
      <x:c r="T948" s="14" t="str">
        <x:v>CRAN 包参考手册；License 字段与原始版权信息保留在文件内</x:v>
      </x:c>
      <x:c r="U948" s="19" t="n">
        <x:v>46303</x:v>
      </x:c>
    </x:row>
    <x:row r="949" ht="68" customHeight="1">
      <x:c r="A949" s="14" t="str">
        <x:v>D-175AAC83</x:v>
      </x:c>
      <x:c r="B949" s="14" t="str">
        <x:v>已内置</x:v>
      </x:c>
      <x:c r="C949" s="14" t="str">
        <x:v>A Network Approach to Psychopathology: New Insights into Clinical Longitudinal Data</x:v>
      </x:c>
      <x:c r="D949" s="14" t="str">
        <x:v>英文</x:v>
      </x:c>
      <x:c r="E949" s="15" t="str">
        <x:v>未处理</x:v>
      </x:c>
      <x:c r="F949" s="15" t="str"/>
      <x:c r="G949" s="16" t="str">
        <x:v>https://doi.org/10.1371/journal.pone.0060188</x:v>
      </x:c>
      <x:c r="H949" s="14" t="str">
        <x:v>H04</x:v>
      </x:c>
      <x:c r="I949" s="14" t="str">
        <x:v>Laura F. Bringmann; Nathalie Vissers; Marieke Wichers; Nicole Geschwind; Peter Kuppens; Frenk Peeters; Denny Borsboom; Francis Tuerlinckx</x:v>
      </x:c>
      <x:c r="J949" s="18" t="n">
        <x:v>2013</x:v>
      </x:c>
      <x:c r="K949" s="14" t="str">
        <x:v>研究论文 / 教程</x:v>
      </x:c>
      <x:c r="L949" s="14" t="str">
        <x:v>优先</x:v>
      </x:c>
      <x:c r="M949" s="14" t="str">
        <x:v>完整 PDF 已验证，共 13 页。</x:v>
      </x:c>
      <x:c r="N949" s="14" t="str">
        <x:v>已随应用内置，可直接打开；无需重复下载。</x:v>
      </x:c>
      <x:c r="O949" s="14" t="str">
        <x:v>纵向心理网络案例。先看重复观测如何构成网络，再区分同时关联与时间滞后；不把边直接当因果。</x:v>
      </x:c>
      <x:c r="P949" s="14" t="str">
        <x:v>10.1371/journal.pone.0060188</x:v>
      </x:c>
      <x:c r="Q949" s="14" t="str">
        <x:v>books/paper-175aac8369.pdf</x:v>
      </x:c>
      <x:c r="R949" s="17" t="n">
        <x:v>0.7407827377319336</x:v>
      </x:c>
      <x:c r="S949" s="14" t="str">
        <x:v>9e6e621b89e2eafba26e5d04f31b4f52cd6d961bcc36b6342a883389fe6601ea</x:v>
      </x:c>
      <x:c r="T949" s="14" t="str">
        <x:v>开放获取原文；保留原版权页，具体许可条款见原文及期刊来源页</x:v>
      </x:c>
      <x:c r="U949" s="19" t="n">
        <x:v>46303</x:v>
      </x:c>
    </x:row>
    <x:row r="950" ht="68" customHeight="1">
      <x:c r="A950" s="14" t="str">
        <x:v>D-ABC7E64B</x:v>
      </x:c>
      <x:c r="B950" s="14" t="str">
        <x:v>已内置</x:v>
      </x:c>
      <x:c r="C950" s="14" t="str">
        <x:v>Continuous Time Structural Equation Modeling with R Package ctsem</x:v>
      </x:c>
      <x:c r="D950" s="14" t="str">
        <x:v>英文</x:v>
      </x:c>
      <x:c r="E950" s="15" t="str">
        <x:v>未处理</x:v>
      </x:c>
      <x:c r="F950" s="15" t="str"/>
      <x:c r="G950" s="16" t="str">
        <x:v>https://doi.org/10.18637/jss.v077.i05</x:v>
      </x:c>
      <x:c r="H950" s="14" t="str">
        <x:v>H08</x:v>
      </x:c>
      <x:c r="I950" s="14" t="str">
        <x:v>Charles C. Driver; Johan H. L. Oud; Manuel C. Voelkle</x:v>
      </x:c>
      <x:c r="J950" s="18" t="n">
        <x:v>2017</x:v>
      </x:c>
      <x:c r="K950" s="14" t="str">
        <x:v>研究论文 / 教程</x:v>
      </x:c>
      <x:c r="L950" s="14" t="str">
        <x:v>优先</x:v>
      </x:c>
      <x:c r="M950" s="14" t="str">
        <x:v>完整 PDF 已验证，共 35 页。</x:v>
      </x:c>
      <x:c r="N950" s="14" t="str">
        <x:v>已随应用内置，可直接打开；无需重复下载。</x:v>
      </x:c>
      <x:c r="O950" s="14" t="str">
        <x:v>连续时间结构方程教程。先理解观测间隔不等的问题，再看 ctsem 示例；软件语法须对照当前版本。</x:v>
      </x:c>
      <x:c r="P950" s="14" t="str">
        <x:v>10.18637/jss.v077.i05</x:v>
      </x:c>
      <x:c r="Q950" s="14" t="str">
        <x:v>books/paper-v077i05.pdf</x:v>
      </x:c>
      <x:c r="R950" s="17" t="n">
        <x:v>1.1401691436767578</x:v>
      </x:c>
      <x:c r="S950" s="14" t="str">
        <x:v>40c907749e15e9e0ea8a173b3904ba67a78cae3295542617f7397e1ce71c8c4b</x:v>
      </x:c>
      <x:c r="T950" s="14" t="str">
        <x:v>JSS 开放获取，CC BY 3.0；保留原文、作者和来源</x:v>
      </x:c>
      <x:c r="U950" s="19" t="n">
        <x:v>46303</x:v>
      </x:c>
    </x:row>
    <x:row r="951" ht="68" customHeight="1">
      <x:c r="A951" s="14" t="str">
        <x:v>D-BDF5B7F4</x:v>
      </x:c>
      <x:c r="B951" s="14" t="str">
        <x:v>已内置</x:v>
      </x:c>
      <x:c r="C951" s="14" t="str">
        <x:v>Analyzing and Visualizing State Sequences in R with TraMineR</x:v>
      </x:c>
      <x:c r="D951" s="14" t="str">
        <x:v>英文</x:v>
      </x:c>
      <x:c r="E951" s="15" t="str">
        <x:v>未处理</x:v>
      </x:c>
      <x:c r="F951" s="15" t="str"/>
      <x:c r="G951" s="16" t="str">
        <x:v>https://doi.org/10.18637/jss.v040.i04</x:v>
      </x:c>
      <x:c r="H951" s="14" t="str">
        <x:v>H09</x:v>
      </x:c>
      <x:c r="I951" s="14" t="str">
        <x:v>Alexis Gabadinho; Gilbert Ritschard; Nicolas S Müller; Matthias Studer</x:v>
      </x:c>
      <x:c r="J951" s="18" t="n">
        <x:v>2011</x:v>
      </x:c>
      <x:c r="K951" s="14" t="str">
        <x:v>研究论文 / 教程</x:v>
      </x:c>
      <x:c r="L951" s="14" t="str">
        <x:v>优先</x:v>
      </x:c>
      <x:c r="M951" s="14" t="str">
        <x:v>完整 PDF 已验证，共 37 页。</x:v>
      </x:c>
      <x:c r="N951" s="14" t="str">
        <x:v>已随应用内置，可直接打开；无需重复下载。</x:v>
      </x:c>
      <x:c r="O951" s="14" t="str">
        <x:v>社会序列分析教程。从序列编码、可视化和距离选择开始，理解生命历程如何被组织为数据。</x:v>
      </x:c>
      <x:c r="P951" s="14" t="str">
        <x:v>10.18637/jss.v040.i04</x:v>
      </x:c>
      <x:c r="Q951" s="14" t="str">
        <x:v>books/paper-v040i04.pdf</x:v>
      </x:c>
      <x:c r="R951" s="17" t="n">
        <x:v>1.3471832275390625</x:v>
      </x:c>
      <x:c r="S951" s="14" t="str">
        <x:v>156a225e712e45c710db0a72caf3a5700bd995e11bdde54446da03d886a279f0</x:v>
      </x:c>
      <x:c r="T951" s="14" t="str">
        <x:v>JSS 开放获取，CC BY 3.0；保留原文、作者和来源</x:v>
      </x:c>
      <x:c r="U951" s="19" t="n">
        <x:v>46303</x:v>
      </x:c>
    </x:row>
    <x:row r="952" ht="68" customHeight="1">
      <x:c r="A952" s="14" t="str">
        <x:v>D-64D228E5</x:v>
      </x:c>
      <x:c r="B952" s="14" t="str">
        <x:v>已内置</x:v>
      </x:c>
      <x:c r="C952" s="14" t="str">
        <x:v>TraMineR 用户指南 PDF（完整教程）</x:v>
      </x:c>
      <x:c r="D952" s="14" t="str">
        <x:v>英文</x:v>
      </x:c>
      <x:c r="E952" s="15" t="str">
        <x:v>未处理</x:v>
      </x:c>
      <x:c r="F952" s="15" t="str"/>
      <x:c r="G952" s="16" t="str">
        <x:v>https://mephisto.unige.ch/pub/TraMineR/doc/TraMineR-Users-Guide.pdf</x:v>
      </x:c>
      <x:c r="H952" s="14" t="str">
        <x:v>H09</x:v>
      </x:c>
      <x:c r="I952" s="14" t="str">
        <x:v>mephisto.unige.ch</x:v>
      </x:c>
      <x:c r="J952" s="18" t="str"/>
      <x:c r="K952" s="14" t="str">
        <x:v>教程 / 原文</x:v>
      </x:c>
      <x:c r="L952" s="14" t="str">
        <x:v>优先</x:v>
      </x:c>
      <x:c r="M952" s="14" t="str">
        <x:v>完整 PDF 已验证，共 129 页。</x:v>
      </x:c>
      <x:c r="N952" s="14" t="str">
        <x:v>已随应用内置，可直接打开；无需重复下载。</x:v>
      </x:c>
      <x:c r="O952" s="14" t="str">
        <x:v>按关联方法选读。官方说明与使用示例。</x:v>
      </x:c>
      <x:c r="P952" s="14" t="str"/>
      <x:c r="Q952" s="14" t="str">
        <x:v>books/reading-7bb1c32b73.pdf</x:v>
      </x:c>
      <x:c r="R952" s="17" t="n">
        <x:v>3.5076351165771484</x:v>
      </x:c>
      <x:c r="S952" s="14" t="str">
        <x:v>130df8dcc732456b118affb331053ffe2bba5f13796960a066651fd92c017123</x:v>
      </x:c>
      <x:c r="T952" s="14" t="str">
        <x:v>作者、高校或官方公开文件；保留原著版权页，具体使用条件见原文</x:v>
      </x:c>
      <x:c r="U952" s="19" t="n">
        <x:v>46303</x:v>
      </x:c>
    </x:row>
    <x:row r="953" ht="68" customHeight="1">
      <x:c r="A953" s="14" t="str">
        <x:v>D-F940D8CD</x:v>
      </x:c>
      <x:c r="B953" s="14" t="str">
        <x:v>已内置</x:v>
      </x:c>
      <x:c r="C953" s="14" t="str">
        <x:v>TraMineR · 序列分析参考手册</x:v>
      </x:c>
      <x:c r="D953" s="14" t="str">
        <x:v>英文</x:v>
      </x:c>
      <x:c r="E953" s="15" t="str">
        <x:v>未处理</x:v>
      </x:c>
      <x:c r="F953" s="15" t="str"/>
      <x:c r="G953" s="16" t="str">
        <x:v>https://cran.r-project.org/web/packages/TraMineR/TraMineR.pdf</x:v>
      </x:c>
      <x:c r="H953" s="14" t="str">
        <x:v>H09；I06</x:v>
      </x:c>
      <x:c r="I953" s="14" t="str">
        <x:v>Alexis Gabadinho 等</x:v>
      </x:c>
      <x:c r="J953" s="18" t="str"/>
      <x:c r="K953" s="14" t="str">
        <x:v>R 说明书</x:v>
      </x:c>
      <x:c r="L953" s="14" t="str">
        <x:v>优先</x:v>
      </x:c>
      <x:c r="M953" s="14" t="str">
        <x:v>完整 PDF 已验证，共 200 页。</x:v>
      </x:c>
      <x:c r="N953" s="14" t="str">
        <x:v>已随应用内置，可直接打开；无需重复下载。</x:v>
      </x:c>
      <x:c r="O953" s="14" t="str">
        <x:v>先查 Description 与 Examples，结合方法卡的中文步骤阅读；函数参数表用于查阅。</x:v>
      </x:c>
      <x:c r="P953" s="14" t="str"/>
      <x:c r="Q953" s="14" t="str">
        <x:v>books/manual-TraMineR.pdf</x:v>
      </x:c>
      <x:c r="R953" s="17" t="n">
        <x:v>0.6309471130371094</x:v>
      </x:c>
      <x:c r="S953" s="14" t="str">
        <x:v>e330743fc47c1997cba79d4cd74316a3a4c16ef3cf320d98f402825f6af3e580</x:v>
      </x:c>
      <x:c r="T953" s="14" t="str">
        <x:v>CRAN 包参考手册；License 字段与原始版权信息保留在文件内</x:v>
      </x:c>
      <x:c r="U953" s="19" t="n">
        <x:v>46303</x:v>
      </x:c>
    </x:row>
    <x:row r="954" ht="68" customHeight="1">
      <x:c r="A954" s="14" t="str">
        <x:v>D-9D28DD56</x:v>
      </x:c>
      <x:c r="B954" s="14" t="str">
        <x:v>已内置</x:v>
      </x:c>
      <x:c r="C954" s="14" t="str">
        <x:v>The specious art of single-cell genomics</x:v>
      </x:c>
      <x:c r="D954" s="14" t="str">
        <x:v>英文</x:v>
      </x:c>
      <x:c r="E954" s="15" t="str">
        <x:v>未处理</x:v>
      </x:c>
      <x:c r="F954" s="15" t="str"/>
      <x:c r="G954" s="16" t="str">
        <x:v>https://doi.org/10.1371/journal.pcbi.1011288</x:v>
      </x:c>
      <x:c r="H954" s="14" t="str">
        <x:v>I04</x:v>
      </x:c>
      <x:c r="I954" s="14" t="str">
        <x:v>Tara Chari; Lior Pachter</x:v>
      </x:c>
      <x:c r="J954" s="18" t="n">
        <x:v>2023</x:v>
      </x:c>
      <x:c r="K954" s="14" t="str">
        <x:v>研究论文 / 教程</x:v>
      </x:c>
      <x:c r="L954" s="14" t="str">
        <x:v>优先</x:v>
      </x:c>
      <x:c r="M954" s="14" t="str">
        <x:v>完整 PDF 已验证，共 20 页。</x:v>
      </x:c>
      <x:c r="N954" s="14" t="str">
        <x:v>已随应用内置，可直接打开；无需重复下载。</x:v>
      </x:c>
      <x:c r="O954" s="14" t="str">
        <x:v>来自单细胞研究的跨领域方法警示，讨论降维图形的解释风险；并非社会科学应用案例。</x:v>
      </x:c>
      <x:c r="P954" s="14" t="str">
        <x:v>10.1371/journal.pcbi.1011288</x:v>
      </x:c>
      <x:c r="Q954" s="14" t="str">
        <x:v>books/paper-9d28dd5691.pdf</x:v>
      </x:c>
      <x:c r="R954" s="17" t="n">
        <x:v>2.531160354614258</x:v>
      </x:c>
      <x:c r="S954" s="14" t="str">
        <x:v>0e43c47fc20efd27e5d5c50951a5823f32238d9d38dfe6947af79e286dbcf876</x:v>
      </x:c>
      <x:c r="T954" s="14" t="str">
        <x:v>开放获取原文；保留原版权页，具体许可条款见原文及期刊来源页</x:v>
      </x:c>
      <x:c r="U954" s="19" t="n">
        <x:v>46303</x:v>
      </x:c>
    </x:row>
    <x:row r="955" ht="68" customHeight="1">
      <x:c r="A955" s="14" t="str">
        <x:v>D-C8CD1FA4</x:v>
      </x:c>
      <x:c r="B955" s="14" t="str">
        <x:v>已内置</x:v>
      </x:c>
      <x:c r="C955" s="14" t="str">
        <x:v>UMAP: Uniform Manifold Approximation and Projection</x:v>
      </x:c>
      <x:c r="D955" s="14" t="str">
        <x:v>英文</x:v>
      </x:c>
      <x:c r="E955" s="15" t="str">
        <x:v>未处理</x:v>
      </x:c>
      <x:c r="F955" s="15" t="str"/>
      <x:c r="G955" s="16" t="str">
        <x:v>https://doi.org/10.21105/joss.00861</x:v>
      </x:c>
      <x:c r="H955" s="14" t="str">
        <x:v>I04</x:v>
      </x:c>
      <x:c r="I955" s="14" t="str">
        <x:v>Leland McInnes; John Healy; Nathaniel Saul; Lukas Großberger</x:v>
      </x:c>
      <x:c r="J955" s="18" t="n">
        <x:v>2018</x:v>
      </x:c>
      <x:c r="K955" s="14" t="str">
        <x:v>研究论文 / 教程</x:v>
      </x:c>
      <x:c r="L955" s="14" t="str">
        <x:v>优先</x:v>
      </x:c>
      <x:c r="M955" s="14" t="str">
        <x:v>完整 PDF 已验证，共 2 页。</x:v>
      </x:c>
      <x:c r="N955" s="14" t="str">
        <x:v>已随应用内置，可直接打开；无需重复下载。</x:v>
      </x:c>
      <x:c r="O955" s="14" t="str">
        <x:v>JOSS 的两页 UMAP 软件论文，非完整数学推导长文。用于核对软件来源，算法细节应继续读作者方法论文。</x:v>
      </x:c>
      <x:c r="P955" s="14" t="str">
        <x:v>10.21105/joss.00861</x:v>
      </x:c>
      <x:c r="Q955" s="14" t="str">
        <x:v>books/paper-c8cd1fa4f7.pdf</x:v>
      </x:c>
      <x:c r="R955" s="17" t="n">
        <x:v>0.2808361053466797</x:v>
      </x:c>
      <x:c r="S955" s="14" t="str">
        <x:v>f6119914907035ade40bc369f5bcb5ae33da64689f1bd35ff032c86d844143d2</x:v>
      </x:c>
      <x:c r="T955" s="14" t="str">
        <x:v>开放获取原文；保留原版权页，具体许可条款见原文及期刊来源页</x:v>
      </x:c>
      <x:c r="U955" s="19" t="n">
        <x:v>46303</x:v>
      </x:c>
    </x:row>
    <x:row r="956" ht="68" customHeight="1">
      <x:c r="A956" s="14" t="str">
        <x:v>D-CE7E1481</x:v>
      </x:c>
      <x:c r="B956" s="14" t="str">
        <x:v>已内置</x:v>
      </x:c>
      <x:c r="C956" s="14" t="str">
        <x:v>QCA · 定性比较分析参考手册</x:v>
      </x:c>
      <x:c r="D956" s="14" t="str">
        <x:v>英文</x:v>
      </x:c>
      <x:c r="E956" s="15" t="str">
        <x:v>未处理</x:v>
      </x:c>
      <x:c r="F956" s="15" t="str"/>
      <x:c r="G956" s="16" t="str">
        <x:v>https://cran.r-project.org/web/packages/QCA/QCA.pdf</x:v>
      </x:c>
      <x:c r="H956" s="14" t="str">
        <x:v>I07</x:v>
      </x:c>
      <x:c r="I956" s="14" t="str">
        <x:v>Adrian Dușa</x:v>
      </x:c>
      <x:c r="J956" s="18" t="str"/>
      <x:c r="K956" s="14" t="str">
        <x:v>R 说明书</x:v>
      </x:c>
      <x:c r="L956" s="14" t="str">
        <x:v>优先</x:v>
      </x:c>
      <x:c r="M956" s="14" t="str">
        <x:v>完整 PDF 已验证，共 62 页。</x:v>
      </x:c>
      <x:c r="N956" s="14" t="str">
        <x:v>已随应用内置，可直接打开；无需重复下载。</x:v>
      </x:c>
      <x:c r="O956" s="14" t="str">
        <x:v>先查 Description 与 Examples，结合方法卡的中文步骤阅读；函数参数表用于查阅。</x:v>
      </x:c>
      <x:c r="P956" s="14" t="str"/>
      <x:c r="Q956" s="14" t="str">
        <x:v>books/manual-QCA.pdf</x:v>
      </x:c>
      <x:c r="R956" s="17" t="n">
        <x:v>0.2731180191040039</x:v>
      </x:c>
      <x:c r="S956" s="14" t="str">
        <x:v>4511ec51d6fb816c9e1536606e449486a1d1a0a8abb8609424815e8a2ddd2385</x:v>
      </x:c>
      <x:c r="T956" s="14" t="str">
        <x:v>CRAN 包参考手册；License 字段与原始版权信息保留在文件内</x:v>
      </x:c>
      <x:c r="U956" s="19" t="n">
        <x:v>46303</x:v>
      </x:c>
    </x:row>
    <x:row r="957" ht="68" customHeight="1">
      <x:c r="A957" s="14" t="str">
        <x:v>D-B5FE078C</x:v>
      </x:c>
      <x:c r="B957" s="14" t="str">
        <x:v>已内置</x:v>
      </x:c>
      <x:c r="C957" s="14" t="str">
        <x:v>QCA with R · 作者公开完整教材 PDF</x:v>
      </x:c>
      <x:c r="D957" s="14" t="str">
        <x:v>英文</x:v>
      </x:c>
      <x:c r="E957" s="15" t="str">
        <x:v>未处理</x:v>
      </x:c>
      <x:c r="F957" s="15" t="str"/>
      <x:c r="G957" s="16" t="str">
        <x:v>https://adriandusa.com/research/books/2019-QCA/2019-QCA.pdf</x:v>
      </x:c>
      <x:c r="H957" s="14" t="str">
        <x:v>I07</x:v>
      </x:c>
      <x:c r="I957" s="14" t="str">
        <x:v>Adrian Dușa</x:v>
      </x:c>
      <x:c r="J957" s="18" t="str"/>
      <x:c r="K957" s="14" t="str">
        <x:v>教程 / 原文</x:v>
      </x:c>
      <x:c r="L957" s="14" t="str">
        <x:v>优先</x:v>
      </x:c>
      <x:c r="M957" s="14" t="str">
        <x:v>完整 PDF 已验证，共 289 页。</x:v>
      </x:c>
      <x:c r="N957" s="14" t="str">
        <x:v>已随应用内置，可直接打开；无需重复下载。</x:v>
      </x:c>
      <x:c r="O957" s="14" t="str">
        <x:v>按关联方法选读。从集合、校准到必要性、充分性、真值表和逻辑最小化，配合 R 包使用。</x:v>
      </x:c>
      <x:c r="P957" s="14" t="str"/>
      <x:c r="Q957" s="14" t="str">
        <x:v>books/reading-713b781771.pdf</x:v>
      </x:c>
      <x:c r="R957" s="17" t="n">
        <x:v>3.560837745666504</x:v>
      </x:c>
      <x:c r="S957" s="14" t="str">
        <x:v>5341c832fcecb587623680095ea49eebc302600aa22d5db60bca422e4cd9d0b2</x:v>
      </x:c>
      <x:c r="T957" s="14" t="str">
        <x:v>作者、高校或官方公开文件；保留原著版权页，具体使用条件见原文</x:v>
      </x:c>
      <x:c r="U957" s="19" t="n">
        <x:v>46303</x:v>
      </x:c>
    </x:row>
    <x:row r="958" ht="68" customHeight="1">
      <x:c r="A958" s="14" t="str">
        <x:v>D-A92DDAA8</x:v>
      </x:c>
      <x:c r="B958" s="14" t="str">
        <x:v>已内置</x:v>
      </x:c>
      <x:c r="C958" s="14" t="str">
        <x:v>stm · 结构主题模型参考手册</x:v>
      </x:c>
      <x:c r="D958" s="14" t="str">
        <x:v>英文</x:v>
      </x:c>
      <x:c r="E958" s="15" t="str">
        <x:v>未处理</x:v>
      </x:c>
      <x:c r="F958" s="15" t="str"/>
      <x:c r="G958" s="16" t="str">
        <x:v>https://cran.r-project.org/web/packages/stm/stm.pdf</x:v>
      </x:c>
      <x:c r="H958" s="14" t="str">
        <x:v>J04；J05</x:v>
      </x:c>
      <x:c r="I958" s="14" t="str">
        <x:v>Margaret Roberts 等</x:v>
      </x:c>
      <x:c r="J958" s="18" t="str"/>
      <x:c r="K958" s="14" t="str">
        <x:v>R 说明书</x:v>
      </x:c>
      <x:c r="L958" s="14" t="str">
        <x:v>优先</x:v>
      </x:c>
      <x:c r="M958" s="14" t="str">
        <x:v>完整 PDF 已验证，共 86 页。</x:v>
      </x:c>
      <x:c r="N958" s="14" t="str">
        <x:v>已随应用内置，可直接打开；无需重复下载。</x:v>
      </x:c>
      <x:c r="O958" s="14" t="str">
        <x:v>先查 Description 与 Examples，结合方法卡的中文步骤阅读；函数参数表用于查阅。</x:v>
      </x:c>
      <x:c r="P958" s="14" t="str"/>
      <x:c r="Q958" s="14" t="str">
        <x:v>books/manual-stm.pdf</x:v>
      </x:c>
      <x:c r="R958" s="17" t="n">
        <x:v>0.33693981170654297</x:v>
      </x:c>
      <x:c r="S958" s="14" t="str">
        <x:v>e1497bc7bfeb40861d51ceb061e6083592a640579a48def4be23c9014d87bb87</x:v>
      </x:c>
      <x:c r="T958" s="14" t="str">
        <x:v>CRAN 包参考手册；License 字段与原始版权信息保留在文件内</x:v>
      </x:c>
      <x:c r="U958" s="19" t="n">
        <x:v>46303</x:v>
      </x:c>
    </x:row>
    <x:row r="959" ht="68" customHeight="1">
      <x:c r="A959" s="14" t="str">
        <x:v>D-AA957E50</x:v>
      </x:c>
      <x:c r="B959" s="14" t="str">
        <x:v>已内置</x:v>
      </x:c>
      <x:c r="C959" s="14" t="str">
        <x:v>stm: An R Package for Structural Topic Models</x:v>
      </x:c>
      <x:c r="D959" s="14" t="str">
        <x:v>英文</x:v>
      </x:c>
      <x:c r="E959" s="15" t="str">
        <x:v>未处理</x:v>
      </x:c>
      <x:c r="F959" s="15" t="str"/>
      <x:c r="G959" s="16" t="str">
        <x:v>https://doi.org/10.18637/jss.v091.i02</x:v>
      </x:c>
      <x:c r="H959" s="14" t="str">
        <x:v>J05</x:v>
      </x:c>
      <x:c r="I959" s="14" t="str">
        <x:v>Margaret E. Roberts; Brandon M. Stewart; Dustin Tingley</x:v>
      </x:c>
      <x:c r="J959" s="18" t="n">
        <x:v>2019</x:v>
      </x:c>
      <x:c r="K959" s="14" t="str">
        <x:v>研究论文 / 教程</x:v>
      </x:c>
      <x:c r="L959" s="14" t="str">
        <x:v>优先</x:v>
      </x:c>
      <x:c r="M959" s="14" t="str">
        <x:v>完整 PDF 已验证，共 40 页。</x:v>
      </x:c>
      <x:c r="N959" s="14" t="str">
        <x:v>已随应用内置，可直接打开；无需重复下载。</x:v>
      </x:c>
      <x:c r="O959" s="14" t="str">
        <x:v>结构主题模型教程。关注文本预处理、协变量含义、主题解释和验证。</x:v>
      </x:c>
      <x:c r="P959" s="14" t="str">
        <x:v>10.18637/jss.v091.i02</x:v>
      </x:c>
      <x:c r="Q959" s="14" t="str">
        <x:v>books/paper-v091i02.pdf</x:v>
      </x:c>
      <x:c r="R959" s="17" t="n">
        <x:v>0.9618244171142578</x:v>
      </x:c>
      <x:c r="S959" s="14" t="str">
        <x:v>a182d86f22d9b10280d1dad1719409766b59e11b5de820db4482a6ad2aea0ab9</x:v>
      </x:c>
      <x:c r="T959" s="14" t="str">
        <x:v>JSS 开放获取，CC BY 3.0；保留原文、作者和来源</x:v>
      </x:c>
      <x:c r="U959" s="19" t="n">
        <x:v>46303</x:v>
      </x:c>
    </x:row>
    <x:row r="960" ht="68" customHeight="1">
      <x:c r="A960" s="14" t="str">
        <x:v>D-EC1E6983</x:v>
      </x:c>
      <x:c r="B960" s="14" t="str">
        <x:v>已内置</x:v>
      </x:c>
      <x:c r="C960" s="14" t="str">
        <x:v>Egami 等的 DSL 论文与代码</x:v>
      </x:c>
      <x:c r="D960" s="14" t="str">
        <x:v>英文</x:v>
      </x:c>
      <x:c r="E960" s="15" t="str">
        <x:v>未处理</x:v>
      </x:c>
      <x:c r="F960" s="15" t="str"/>
      <x:c r="G960" s="16" t="str">
        <x:v>https://naokiegami.com/paper/dsl_ss.pdf</x:v>
      </x:c>
      <x:c r="H960" s="14" t="str">
        <x:v>J07；J08</x:v>
      </x:c>
      <x:c r="I960" s="14" t="str">
        <x:v>方法/软件项目</x:v>
      </x:c>
      <x:c r="J960" s="18" t="str"/>
      <x:c r="K960" s="14" t="str">
        <x:v>教程 / 原文</x:v>
      </x:c>
      <x:c r="L960" s="14" t="str">
        <x:v>优先</x:v>
      </x:c>
      <x:c r="M960" s="14" t="str">
        <x:v>完整 PDF 已验证，共 68 页。</x:v>
      </x:c>
      <x:c r="N960" s="14" t="str">
        <x:v>已随应用内置，可直接打开；无需重复下载。</x:v>
      </x:c>
      <x:c r="O960" s="14" t="str">
        <x:v>按关联方法选读。本条目的方法说明、参数、示例或诊断入口。</x:v>
      </x:c>
      <x:c r="P960" s="14" t="str"/>
      <x:c r="Q960" s="14" t="str">
        <x:v>books/reading-ec1e6983e4.pdf</x:v>
      </x:c>
      <x:c r="R960" s="17" t="n">
        <x:v>2.171380043029785</x:v>
      </x:c>
      <x:c r="S960" s="14" t="str">
        <x:v>40fa60a616a46e2619f6481c65db95036db0f077275077653972924836bcc236</x:v>
      </x:c>
      <x:c r="T960" s="14" t="str">
        <x:v>作者、高校或官方公开文件；保留原著版权页，具体使用条件见原文</x:v>
      </x:c>
      <x:c r="U960" s="19" t="n">
        <x:v>46303</x:v>
      </x:c>
    </x:row>
    <x:row r="961" ht="68" customHeight="1">
      <x:c r="A961" s="14" t="str">
        <x:v>D-6A69CAEB</x:v>
      </x:c>
      <x:c r="B961" s="14" t="str">
        <x:v>已内置</x:v>
      </x:c>
      <x:c r="C961" s="14" t="str">
        <x:v>ergm · 指数随机图模型参考手册</x:v>
      </x:c>
      <x:c r="D961" s="14" t="str">
        <x:v>英文</x:v>
      </x:c>
      <x:c r="E961" s="15" t="str">
        <x:v>未处理</x:v>
      </x:c>
      <x:c r="F961" s="15" t="str"/>
      <x:c r="G961" s="16" t="str">
        <x:v>https://cran.r-project.org/web/packages/ergm/ergm.pdf</x:v>
      </x:c>
      <x:c r="H961" s="14" t="str">
        <x:v>J09；J10；J14</x:v>
      </x:c>
      <x:c r="I961" s="14" t="str">
        <x:v>Statnet 团队</x:v>
      </x:c>
      <x:c r="J961" s="18" t="str"/>
      <x:c r="K961" s="14" t="str">
        <x:v>R 说明书</x:v>
      </x:c>
      <x:c r="L961" s="14" t="str">
        <x:v>优先</x:v>
      </x:c>
      <x:c r="M961" s="14" t="str">
        <x:v>完整 PDF 已验证，共 325 页。</x:v>
      </x:c>
      <x:c r="N961" s="14" t="str">
        <x:v>已随应用内置，可直接打开；无需重复下载。</x:v>
      </x:c>
      <x:c r="O961" s="14" t="str">
        <x:v>先查 Description 与 Examples，结合方法卡的中文步骤阅读；函数参数表用于查阅。</x:v>
      </x:c>
      <x:c r="P961" s="14" t="str"/>
      <x:c r="Q961" s="14" t="str">
        <x:v>books/manual-ergm.pdf</x:v>
      </x:c>
      <x:c r="R961" s="17" t="n">
        <x:v>0.9729728698730469</x:v>
      </x:c>
      <x:c r="S961" s="14" t="str">
        <x:v>aac2a605bdf8c76fc92eb7d68959f38c7fc8ed877a44ccf08ccd9949b5b61de9</x:v>
      </x:c>
      <x:c r="T961" s="14" t="str">
        <x:v>CRAN 包参考手册；License 字段与原始版权信息保留在文件内</x:v>
      </x:c>
      <x:c r="U961" s="19" t="n">
        <x:v>46303</x:v>
      </x:c>
    </x:row>
    <x:row r="962" ht="68" customHeight="1">
      <x:c r="A962" s="14" t="str">
        <x:v>D-4A79EAF8</x:v>
      </x:c>
      <x:c r="B962" s="14" t="str">
        <x:v>已内置</x:v>
      </x:c>
      <x:c r="C962" s="14" t="str">
        <x:v>relevent · package reference manual</x:v>
      </x:c>
      <x:c r="D962" s="14" t="str">
        <x:v>英文</x:v>
      </x:c>
      <x:c r="E962" s="15" t="str">
        <x:v>未处理</x:v>
      </x:c>
      <x:c r="F962" s="15" t="str"/>
      <x:c r="G962" s="16" t="str">
        <x:v>https://cran.r-project.org/web/packages/relevent/relevent.pdf</x:v>
      </x:c>
      <x:c r="H962" s="14" t="str">
        <x:v>J16</x:v>
      </x:c>
      <x:c r="I962" s="14" t="str">
        <x:v>Carter T. Butts / CRAN</x:v>
      </x:c>
      <x:c r="J962" s="18" t="str"/>
      <x:c r="K962" s="14" t="str">
        <x:v>教程 / 原文</x:v>
      </x:c>
      <x:c r="L962" s="14" t="str">
        <x:v>优先</x:v>
      </x:c>
      <x:c r="M962" s="14" t="str">
        <x:v>完整 PDF 已验证，共 14 页。</x:v>
      </x:c>
      <x:c r="N962" s="14" t="str">
        <x:v>已随应用内置，可直接打开；无需重复下载。</x:v>
      </x:c>
      <x:c r="O962" s="14" t="str">
        <x:v>按关联方法选读。整理 sender、receiver、time 表，解释互惠与事件率的区别。</x:v>
      </x:c>
      <x:c r="P962" s="14" t="str"/>
      <x:c r="Q962" s="14" t="str">
        <x:v>books/reading-4a79eaf886.pdf</x:v>
      </x:c>
      <x:c r="R962" s="17" t="n">
        <x:v>0.15270423889160156</x:v>
      </x:c>
      <x:c r="S962" s="14" t="str">
        <x:v>3885d49142abec9f79f4dd5960aabb4b2e0e45f6505e1b823c33d0f076e3c13e</x:v>
      </x:c>
      <x:c r="T962" s="14" t="str">
        <x:v>作者、高校或官方公开文件；保留原著版权页，具体使用条件见原文</x:v>
      </x:c>
      <x:c r="U962" s="19" t="n">
        <x:v>46303</x:v>
      </x:c>
    </x:row>
    <x:row r="963" ht="68" customHeight="1">
      <x:c r="A963" s="14" t="str">
        <x:v>D-D84B8EFA</x:v>
      </x:c>
      <x:c r="B963" s="14" t="str">
        <x:v>已内置</x:v>
      </x:c>
      <x:c r="C963" s="14" t="str">
        <x:v>Commentary: A Multilab Preregistered Replication of the Ego-Depletion Effect</x:v>
      </x:c>
      <x:c r="D963" s="14" t="str">
        <x:v>英文</x:v>
      </x:c>
      <x:c r="E963" s="15" t="str">
        <x:v>未处理</x:v>
      </x:c>
      <x:c r="F963" s="15" t="str"/>
      <x:c r="G963" s="16" t="str">
        <x:v>https://doi.org/10.3389/fpsyg.2016.01155</x:v>
      </x:c>
      <x:c r="H963" s="14" t="str">
        <x:v>K04</x:v>
      </x:c>
      <x:c r="I963" s="14" t="str">
        <x:v>Dang, Junhua</x:v>
      </x:c>
      <x:c r="J963" s="18" t="n">
        <x:v>2016</x:v>
      </x:c>
      <x:c r="K963" s="14" t="str">
        <x:v>方法评论</x:v>
      </x:c>
      <x:c r="L963" s="14" t="str">
        <x:v>优先</x:v>
      </x:c>
      <x:c r="M963" s="14" t="str">
        <x:v>完整 PDF 已验证，共 2 页。</x:v>
      </x:c>
      <x:c r="N963" s="14" t="str">
        <x:v>已随应用内置，可直接打开；无需重复下载。</x:v>
      </x:c>
      <x:c r="O963" s="14" t="str">
        <x:v>这是 Junhua Dang 对自我损耗多实验室复现的评论，不是 Hagger 与 Chatzisarantis 的原始复现报告。阅读时对照操纵有效性与分析选择的争议。</x:v>
      </x:c>
      <x:c r="P963" s="14" t="str">
        <x:v>10.3389/fpsyg.2016.01155</x:v>
      </x:c>
      <x:c r="Q963" s="14" t="str">
        <x:v>books/paper-d84b8efa0c.pdf</x:v>
      </x:c>
      <x:c r="R963" s="17" t="n">
        <x:v>0.2623147964477539</x:v>
      </x:c>
      <x:c r="S963" s="14" t="str">
        <x:v>cbd1aacfa540fc6c82bae7a3c557d566f6dc060b0dfe90b6c1188d6d0eb12b24</x:v>
      </x:c>
      <x:c r="T963" s="14" t="str">
        <x:v>开放获取原文；保留原版权页，具体许可条款见原文及期刊来源页</x:v>
      </x:c>
      <x:c r="U963" s="19" t="n">
        <x:v>46303</x:v>
      </x:c>
    </x:row>
    <x:row r="964" ht="68" customHeight="1">
      <x:c r="A964" s="14" t="str">
        <x:v>D-5D041EF2</x:v>
      </x:c>
      <x:c r="B964" s="14" t="str">
        <x:v>已内置</x:v>
      </x:c>
      <x:c r="C964" s="14" t="str">
        <x:v>Why optional stopping can be a problem for Bayesians</x:v>
      </x:c>
      <x:c r="D964" s="14" t="str">
        <x:v>英文</x:v>
      </x:c>
      <x:c r="E964" s="15" t="str">
        <x:v>未处理</x:v>
      </x:c>
      <x:c r="F964" s="15" t="str"/>
      <x:c r="G964" s="16" t="str">
        <x:v>https://doi.org/10.3758/s13423-020-01803-x</x:v>
      </x:c>
      <x:c r="H964" s="14" t="str">
        <x:v>K04；L07</x:v>
      </x:c>
      <x:c r="I964" s="14" t="str">
        <x:v>de Heide, R., &amp; Grünwald, P. D.</x:v>
      </x:c>
      <x:c r="J964" s="18" t="n">
        <x:v>2021</x:v>
      </x:c>
      <x:c r="K964" s="14" t="str">
        <x:v>研究论文 / 教程</x:v>
      </x:c>
      <x:c r="L964" s="14" t="str">
        <x:v>优先</x:v>
      </x:c>
      <x:c r="M964" s="14" t="str">
        <x:v>完整 PDF 已验证，共 18 页。</x:v>
      </x:c>
      <x:c r="N964" s="14" t="str">
        <x:v>已随应用内置，可直接打开；无需重复下载。</x:v>
      </x:c>
      <x:c r="O964" s="14" t="str">
        <x:v>先区分三种问题：如何更新模型证据、证据是否校准、长期决策错误率如何控制。不要将任何一种保证泛化为所有先验和停止规则。</x:v>
      </x:c>
      <x:c r="P964" s="14" t="str">
        <x:v>10.3758/s13423-020-01803-x</x:v>
      </x:c>
      <x:c r="Q964" s="14" t="str">
        <x:v>books/paper-bayes-stopping.pdf</x:v>
      </x:c>
      <x:c r="R964" s="17" t="n">
        <x:v>1.6857671737670898</x:v>
      </x:c>
      <x:c r="S964" s="14" t="str">
        <x:v>4f22b81ca111ea337f054ee7a8996635c2af1e7a149b9c98ac8256bae0abf923</x:v>
      </x:c>
      <x:c r="T964" s="14" t="str">
        <x:v>作者机构公开的期刊全文；保留原始版权与开放获取许可页</x:v>
      </x:c>
      <x:c r="U964" s="19" t="n">
        <x:v>46303</x:v>
      </x:c>
    </x:row>
    <x:row r="965" ht="68" customHeight="1">
      <x:c r="A965" s="14" t="str">
        <x:v>D-D190CB0B</x:v>
      </x:c>
      <x:c r="B965" s="14" t="str">
        <x:v>已内置</x:v>
      </x:c>
      <x:c r="C965" s="14" t="str">
        <x:v>Conducting Meta-Analyses in R with the metafor Package</x:v>
      </x:c>
      <x:c r="D965" s="14" t="str">
        <x:v>英文</x:v>
      </x:c>
      <x:c r="E965" s="15" t="str">
        <x:v>未处理</x:v>
      </x:c>
      <x:c r="F965" s="15" t="str"/>
      <x:c r="G965" s="16" t="str">
        <x:v>https://doi.org/10.18637/jss.v036.i03</x:v>
      </x:c>
      <x:c r="H965" s="14" t="str">
        <x:v>L01</x:v>
      </x:c>
      <x:c r="I965" s="14" t="str">
        <x:v>Wolfgang Viechtbauer</x:v>
      </x:c>
      <x:c r="J965" s="18" t="n">
        <x:v>2010</x:v>
      </x:c>
      <x:c r="K965" s="14" t="str">
        <x:v>研究论文 / 教程</x:v>
      </x:c>
      <x:c r="L965" s="14" t="str">
        <x:v>优先</x:v>
      </x:c>
      <x:c r="M965" s="14" t="str">
        <x:v>完整 PDF 已验证，共 48 页。</x:v>
      </x:c>
      <x:c r="N965" s="14" t="str">
        <x:v>已随应用内置，可直接打开；无需重复下载。</x:v>
      </x:c>
      <x:c r="O965" s="14" t="str">
        <x:v>元分析 R 教程。依次阅读效应量、模型拟合、异质性与调节变量的例子。</x:v>
      </x:c>
      <x:c r="P965" s="14" t="str">
        <x:v>10.18637/jss.v036.i03</x:v>
      </x:c>
      <x:c r="Q965" s="14" t="str">
        <x:v>books/paper-v036i03.pdf</x:v>
      </x:c>
      <x:c r="R965" s="17" t="n">
        <x:v>0.9700393676757812</x:v>
      </x:c>
      <x:c r="S965" s="14" t="str">
        <x:v>68dff4dd9eb16d482cb6b3dc344b017cc2b713e1c00dfc7c416c666f288802fb</x:v>
      </x:c>
      <x:c r="T965" s="14" t="str">
        <x:v>JSS 开放获取，CC BY 3.0；保留原文、作者和来源</x:v>
      </x:c>
      <x:c r="U965" s="19" t="n">
        <x:v>46303</x:v>
      </x:c>
    </x:row>
    <x:row r="966" ht="68" customHeight="1">
      <x:c r="A966" s="14" t="str">
        <x:v>D-03FCF9C6</x:v>
      </x:c>
      <x:c r="B966" s="14" t="str">
        <x:v>已内置</x:v>
      </x:c>
      <x:c r="C966" s="14" t="str">
        <x:v>metafor · 元分析参考手册</x:v>
      </x:c>
      <x:c r="D966" s="14" t="str">
        <x:v>英文</x:v>
      </x:c>
      <x:c r="E966" s="15" t="str">
        <x:v>未处理</x:v>
      </x:c>
      <x:c r="F966" s="15" t="str"/>
      <x:c r="G966" s="16" t="str">
        <x:v>https://cran.r-project.org/web/packages/metafor/metafor.pdf</x:v>
      </x:c>
      <x:c r="H966" s="14" t="str">
        <x:v>L01；L02；L03；L08</x:v>
      </x:c>
      <x:c r="I966" s="14" t="str">
        <x:v>Wolfgang Viechtbauer</x:v>
      </x:c>
      <x:c r="J966" s="18" t="str"/>
      <x:c r="K966" s="14" t="str">
        <x:v>R 说明书</x:v>
      </x:c>
      <x:c r="L966" s="14" t="str">
        <x:v>优先</x:v>
      </x:c>
      <x:c r="M966" s="14" t="str">
        <x:v>完整 PDF 已验证，共 396 页。</x:v>
      </x:c>
      <x:c r="N966" s="14" t="str">
        <x:v>已随应用内置，可直接打开；无需重复下载。</x:v>
      </x:c>
      <x:c r="O966" s="14" t="str">
        <x:v>先查 Description 与 Examples，结合方法卡的中文步骤阅读；函数参数表用于查阅。</x:v>
      </x:c>
      <x:c r="P966" s="14" t="str"/>
      <x:c r="Q966" s="14" t="str">
        <x:v>books/manual-metafor.pdf</x:v>
      </x:c>
      <x:c r="R966" s="17" t="n">
        <x:v>1.4884309768676758</x:v>
      </x:c>
      <x:c r="S966" s="14" t="str">
        <x:v>7019fd3705f416a41fbb14722c82a994413f1e17681b0ba08ef67df65530578f</x:v>
      </x:c>
      <x:c r="T966" s="14" t="str">
        <x:v>CRAN 包参考手册；License 字段与原始版权信息保留在文件内</x:v>
      </x:c>
      <x:c r="U966" s="19" t="n">
        <x:v>46303</x:v>
      </x:c>
    </x:row>
    <x:row r="967" ht="68" customHeight="1">
      <x:c r="A967" s="14" t="str">
        <x:v>D-423895E3</x:v>
      </x:c>
      <x:c r="B967" s="14" t="str">
        <x:v>已内置</x:v>
      </x:c>
      <x:c r="C967" s="14" t="str">
        <x:v>mice: Multivariate Imputation by Chained Equations in R</x:v>
      </x:c>
      <x:c r="D967" s="14" t="str">
        <x:v>英文</x:v>
      </x:c>
      <x:c r="E967" s="15" t="str">
        <x:v>未处理</x:v>
      </x:c>
      <x:c r="F967" s="15" t="str"/>
      <x:c r="G967" s="16" t="str">
        <x:v>https://doi.org/10.18637/jss.v045.i03</x:v>
      </x:c>
      <x:c r="H967" s="14" t="str">
        <x:v>N01；N02</x:v>
      </x:c>
      <x:c r="I967" s="14" t="str">
        <x:v>Stef van Buuren; Karin Groothuis-Oudshoorn</x:v>
      </x:c>
      <x:c r="J967" s="18" t="n">
        <x:v>2011</x:v>
      </x:c>
      <x:c r="K967" s="14" t="str">
        <x:v>研究论文 / 教程</x:v>
      </x:c>
      <x:c r="L967" s="14" t="str">
        <x:v>优先</x:v>
      </x:c>
      <x:c r="M967" s="14" t="str">
        <x:v>完整 PDF 已验证，共 67 页。</x:v>
      </x:c>
      <x:c r="N967" s="14" t="str">
        <x:v>已随应用内置，可直接打开；无需重复下载。</x:v>
      </x:c>
      <x:c r="O967" s="14" t="str">
        <x:v>从逐步示例学习插补模型、诊断与合并估计；不能把单个插补数据集当作完整的不确定性分析。</x:v>
      </x:c>
      <x:c r="P967" s="14" t="str">
        <x:v>10.18637/jss.v045.i03</x:v>
      </x:c>
      <x:c r="Q967" s="14" t="str">
        <x:v>books/paper-v045i03.pdf</x:v>
      </x:c>
      <x:c r="R967" s="17" t="n">
        <x:v>1.3108320236206055</x:v>
      </x:c>
      <x:c r="S967" s="14" t="str">
        <x:v>8d58efc30674ce6eff41574a5f67d36d14a19e9e08edcaa964d57ef1a05e70ad</x:v>
      </x:c>
      <x:c r="T967" s="14" t="str">
        <x:v>JSS 开放获取，CC BY 3.0；保留原文、作者和来源</x:v>
      </x:c>
      <x:c r="U967" s="19" t="n">
        <x:v>46303</x:v>
      </x:c>
    </x:row>
    <x:row r="968" ht="68" customHeight="1">
      <x:c r="A968" s="14" t="str">
        <x:v>D-6A16D7FF</x:v>
      </x:c>
      <x:c r="B968" s="14" t="str">
        <x:v>已内置</x:v>
      </x:c>
      <x:c r="C968" s="14" t="str">
        <x:v>mice · 多重插补参考手册</x:v>
      </x:c>
      <x:c r="D968" s="14" t="str">
        <x:v>英文</x:v>
      </x:c>
      <x:c r="E968" s="15" t="str">
        <x:v>未处理</x:v>
      </x:c>
      <x:c r="F968" s="15" t="str"/>
      <x:c r="G968" s="16" t="str">
        <x:v>https://cran.r-project.org/web/packages/mice/mice.pdf</x:v>
      </x:c>
      <x:c r="H968" s="14" t="str">
        <x:v>N01；N02；N09</x:v>
      </x:c>
      <x:c r="I968" s="14" t="str">
        <x:v>Stef van Buuren 等</x:v>
      </x:c>
      <x:c r="J968" s="18" t="str"/>
      <x:c r="K968" s="14" t="str">
        <x:v>R 说明书</x:v>
      </x:c>
      <x:c r="L968" s="14" t="str">
        <x:v>优先</x:v>
      </x:c>
      <x:c r="M968" s="14" t="str">
        <x:v>完整 PDF 已验证，共 203 页。</x:v>
      </x:c>
      <x:c r="N968" s="14" t="str">
        <x:v>已随应用内置，可直接打开；无需重复下载。</x:v>
      </x:c>
      <x:c r="O968" s="14" t="str">
        <x:v>先查 Description 与 Examples，结合方法卡的中文步骤阅读；函数参数表用于查阅。</x:v>
      </x:c>
      <x:c r="P968" s="14" t="str"/>
      <x:c r="Q968" s="14" t="str">
        <x:v>books/manual-mice.pdf</x:v>
      </x:c>
      <x:c r="R968" s="17" t="n">
        <x:v>0.642918586730957</x:v>
      </x:c>
      <x:c r="S968" s="14" t="str">
        <x:v>5913f8ffd426e94064ef15694ef7f6caed607e56a3349ece9ec27d6e7cac0d38</x:v>
      </x:c>
      <x:c r="T968" s="14" t="str">
        <x:v>CRAN 包参考手册；License 字段与原始版权信息保留在文件内</x:v>
      </x:c>
      <x:c r="U968" s="19" t="n">
        <x:v>46303</x:v>
      </x:c>
    </x:row>
    <x:row r="969" ht="68" customHeight="1">
      <x:c r="A969" s="14" t="str">
        <x:v>D-27F974C8</x:v>
      </x:c>
      <x:c r="B969" s="14" t="str">
        <x:v>已内置</x:v>
      </x:c>
      <x:c r="C969" s="14" t="str">
        <x:v>R 数据导入与导出 · R Data Import/Export</x:v>
      </x:c>
      <x:c r="D969" s="14" t="str">
        <x:v>英文</x:v>
      </x:c>
      <x:c r="E969" s="15" t="str">
        <x:v>未处理</x:v>
      </x:c>
      <x:c r="F969" s="15" t="str"/>
      <x:c r="G969" s="16" t="str">
        <x:v>https://cran.r-project.org/doc/manuals/r-release/R-data.pdf</x:v>
      </x:c>
      <x:c r="H969" s="14" t="str">
        <x:v>N01；N03；N04</x:v>
      </x:c>
      <x:c r="I969" s="14" t="str">
        <x:v>R Core Team</x:v>
      </x:c>
      <x:c r="J969" s="18" t="str"/>
      <x:c r="K969" s="14" t="str">
        <x:v>说明书</x:v>
      </x:c>
      <x:c r="L969" s="14" t="str">
        <x:v>优先</x:v>
      </x:c>
      <x:c r="M969" s="14" t="str">
        <x:v>完整 PDF 已验证，共 35 页。</x:v>
      </x:c>
      <x:c r="N969" s="14" t="str">
        <x:v>已随应用内置，可直接打开；无需重复下载。</x:v>
      </x:c>
      <x:c r="O969" s="14" t="str">
        <x:v>先学如何读入 CSV，再核对变量类型与缺失值标记。</x:v>
      </x:c>
      <x:c r="P969" s="14" t="str"/>
      <x:c r="Q969" s="14" t="str">
        <x:v>books/r-data.pdf</x:v>
      </x:c>
      <x:c r="R969" s="17" t="n">
        <x:v>0.282562255859375</x:v>
      </x:c>
      <x:c r="S969" s="14" t="str">
        <x:v>1ad7f0e93d056cbe8f8cf5d680be197ef97228b3c478edf522deed76f13b7a67</x:v>
      </x:c>
      <x:c r="T969" s="14" t="str">
        <x:v>手册版权页允许保留声明的复制、再分发和翻译</x:v>
      </x:c>
      <x:c r="U969" s="19" t="n">
        <x:v>46303</x:v>
      </x:c>
    </x:row>
    <x:row r="970" ht="68" customHeight="1">
      <x:c r="A970" s="14" t="str">
        <x:v>D-EB6C3E8E</x:v>
      </x:c>
      <x:c r="B970" s="14" t="str">
        <x:v>已内置</x:v>
      </x:c>
      <x:c r="C970" s="14" t="str">
        <x:v>How to Classify, Detect, and Manage Univariate and Multivariate Outliers, With Emphasis on Pre-Registration</x:v>
      </x:c>
      <x:c r="D970" s="14" t="str">
        <x:v>英文</x:v>
      </x:c>
      <x:c r="E970" s="15" t="str">
        <x:v>未处理</x:v>
      </x:c>
      <x:c r="F970" s="15" t="str"/>
      <x:c r="G970" s="16" t="str">
        <x:v>https://doi.org/10.5334/irsp.289</x:v>
      </x:c>
      <x:c r="H970" s="14" t="str">
        <x:v>N03</x:v>
      </x:c>
      <x:c r="I970" s="14" t="str">
        <x:v>Leys, Christophe; Delacre, Marie; Mora, Youri L.; Lakens, Daniël; Ley, Christophe</x:v>
      </x:c>
      <x:c r="J970" s="18" t="n">
        <x:v>2019</x:v>
      </x:c>
      <x:c r="K970" s="14" t="str">
        <x:v>研究论文 / 教程</x:v>
      </x:c>
      <x:c r="L970" s="14" t="str">
        <x:v>优先</x:v>
      </x:c>
      <x:c r="M970" s="14" t="str">
        <x:v>完整 PDF 已验证，共 10 页。</x:v>
      </x:c>
      <x:c r="N970" s="14" t="str">
        <x:v>已随应用内置，可直接打开；无需重复下载。</x:v>
      </x:c>
      <x:c r="O970" s="14" t="str">
        <x:v>离群值处理教程。按单变量、多变量与模型影响区分问题，事先写清规则并保留敏感性分析。</x:v>
      </x:c>
      <x:c r="P970" s="14" t="str">
        <x:v>10.5334/irsp.289</x:v>
      </x:c>
      <x:c r="Q970" s="14" t="str">
        <x:v>books/paper-eb6c3e8e33.pdf</x:v>
      </x:c>
      <x:c r="R970" s="17" t="n">
        <x:v>0.5212316513061523</x:v>
      </x:c>
      <x:c r="S970" s="14" t="str">
        <x:v>4cb67100d91ba2865c16c1347bda805207a0509d295e1a1dfc6a233e306b62fd</x:v>
      </x:c>
      <x:c r="T970" s="14" t="str">
        <x:v>开放获取原文；保留原版权页，具体许可条款见原文及期刊来源页</x:v>
      </x:c>
      <x:c r="U970" s="19" t="n">
        <x:v>46303</x:v>
      </x:c>
    </x:row>
    <x:row r="971" ht="68" customHeight="1">
      <x:c r="A971" s="14" t="str">
        <x:v>D-4E9559B1</x:v>
      </x:c>
      <x:c r="B971" s="14" t="str">
        <x:v>已内置</x:v>
      </x:c>
      <x:c r="C971" s="14" t="str">
        <x:v>The Assumption of a Reliable Instrument and Other Pitfalls to Avoid When Considering the Reliability of Data</x:v>
      </x:c>
      <x:c r="D971" s="14" t="str">
        <x:v>英文</x:v>
      </x:c>
      <x:c r="E971" s="15" t="str">
        <x:v>未处理</x:v>
      </x:c>
      <x:c r="F971" s="15" t="str"/>
      <x:c r="G971" s="16" t="str">
        <x:v>https://doi.org/10.3389/fpsyg.2012.00102</x:v>
      </x:c>
      <x:c r="H971" s="14" t="str">
        <x:v>N06</x:v>
      </x:c>
      <x:c r="I971" s="14" t="str">
        <x:v>Nimon, Kim; Zientek, Linda  Reichwein; Henson, Robin  K.</x:v>
      </x:c>
      <x:c r="J971" s="18" t="n">
        <x:v>2012</x:v>
      </x:c>
      <x:c r="K971" s="14" t="str">
        <x:v>研究论文 / 教程</x:v>
      </x:c>
      <x:c r="L971" s="14" t="str">
        <x:v>优先</x:v>
      </x:c>
      <x:c r="M971" s="14" t="str">
        <x:v>完整 PDF 已验证，共 13 页。</x:v>
      </x:c>
      <x:c r="N971" s="14" t="str">
        <x:v>已随应用内置，可直接打开；无需重复下载。</x:v>
      </x:c>
      <x:c r="O971" s="14" t="str">
        <x:v>关于信度解释的综述。信度是特定数据与测量条件下的性质，不能把量表名称当作恒定信度保证。</x:v>
      </x:c>
      <x:c r="P971" s="14" t="str">
        <x:v>10.3389/fpsyg.2012.00102</x:v>
      </x:c>
      <x:c r="Q971" s="14" t="str">
        <x:v>books/paper-4e9559b18d.pdf</x:v>
      </x:c>
      <x:c r="R971" s="17" t="n">
        <x:v>1.1652231216430664</x:v>
      </x:c>
      <x:c r="S971" s="14" t="str">
        <x:v>b9761af55a25d435b0729826fab5d2faef1736f4a3ff687f85aaf7fae8e50f1e</x:v>
      </x:c>
      <x:c r="T971" s="14" t="str">
        <x:v>开放获取原文；保留原版权页，具体许可条款见原文及期刊来源页</x:v>
      </x:c>
      <x:c r="U971" s="19" t="n">
        <x:v>46303</x:v>
      </x:c>
    </x:row>
    <x:row r="972" ht="68" customHeight="1">
      <x:c r="A972" s="14" t="str">
        <x:v>D-00A12EF6</x:v>
      </x:c>
      <x:c r="B972" s="14" t="str">
        <x:v>已内置</x:v>
      </x:c>
      <x:c r="C972" s="14" t="str">
        <x:v>spdep · 空间依赖参考手册</x:v>
      </x:c>
      <x:c r="D972" s="14" t="str">
        <x:v>英文</x:v>
      </x:c>
      <x:c r="E972" s="15" t="str">
        <x:v>未处理</x:v>
      </x:c>
      <x:c r="F972" s="15" t="str"/>
      <x:c r="G972" s="16" t="str">
        <x:v>https://cran.r-project.org/web/packages/spdep/spdep.pdf</x:v>
      </x:c>
      <x:c r="H972" s="14" t="str">
        <x:v>O01；O02</x:v>
      </x:c>
      <x:c r="I972" s="14" t="str">
        <x:v>Roger Bivand 等</x:v>
      </x:c>
      <x:c r="J972" s="18" t="str"/>
      <x:c r="K972" s="14" t="str">
        <x:v>R 说明书</x:v>
      </x:c>
      <x:c r="L972" s="14" t="str">
        <x:v>优先</x:v>
      </x:c>
      <x:c r="M972" s="14" t="str">
        <x:v>完整 PDF 已验证，共 193 页。</x:v>
      </x:c>
      <x:c r="N972" s="14" t="str">
        <x:v>已随应用内置，可直接打开；无需重复下载。</x:v>
      </x:c>
      <x:c r="O972" s="14" t="str">
        <x:v>先查 Description 与 Examples，结合方法卡的中文步骤阅读；函数参数表用于查阅。</x:v>
      </x:c>
      <x:c r="P972" s="14" t="str"/>
      <x:c r="Q972" s="14" t="str">
        <x:v>books/manual-spdep.pdf</x:v>
      </x:c>
      <x:c r="R972" s="17" t="n">
        <x:v>0.5798730850219727</x:v>
      </x:c>
      <x:c r="S972" s="14" t="str">
        <x:v>ed465db7cf4a1557e7973d46346dd0106654c1b38ccdc1ac068168e459619e35</x:v>
      </x:c>
      <x:c r="T972" s="14" t="str">
        <x:v>CRAN 包参考手册；License 字段与原始版权信息保留在文件内</x:v>
      </x:c>
      <x:c r="U972" s="19" t="n">
        <x:v>46303</x:v>
      </x:c>
    </x:row>
    <x:row r="973" ht="68" customHeight="1">
      <x:c r="A973" s="14" t="str">
        <x:v>D-C973B16A</x:v>
      </x:c>
      <x:c r="B973" s="14" t="str">
        <x:v>已内置</x:v>
      </x:c>
      <x:c r="C973" s="14" t="str">
        <x:v>oaxaca · decomposition reference manual</x:v>
      </x:c>
      <x:c r="D973" s="14" t="str">
        <x:v>英文</x:v>
      </x:c>
      <x:c r="E973" s="15" t="str">
        <x:v>未处理</x:v>
      </x:c>
      <x:c r="F973" s="15" t="str"/>
      <x:c r="G973" s="16" t="str">
        <x:v>https://cran.r-project.org/web/packages/oaxaca/oaxaca.pdf</x:v>
      </x:c>
      <x:c r="H973" s="14" t="str">
        <x:v>O05</x:v>
      </x:c>
      <x:c r="I973" s="14" t="str">
        <x:v>Marek Hlavac / CRAN</x:v>
      </x:c>
      <x:c r="J973" s="18" t="str"/>
      <x:c r="K973" s="14" t="str">
        <x:v>教程 / 原文</x:v>
      </x:c>
      <x:c r="L973" s="14" t="str">
        <x:v>优先</x:v>
      </x:c>
      <x:c r="M973" s="14" t="str">
        <x:v>完整 PDF 已验证，共 10 页。</x:v>
      </x:c>
      <x:c r="N973" s="14" t="str">
        <x:v>已随应用内置，可直接打开；无需重复下载。</x:v>
      </x:c>
      <x:c r="O973" s="14" t="str">
        <x:v>按关联方法选读。更换参照系数后重算分解；解释未解释部分为何不能直接叫歧视。</x:v>
      </x:c>
      <x:c r="P973" s="14" t="str"/>
      <x:c r="Q973" s="14" t="str">
        <x:v>books/reading-c973b16aae.pdf</x:v>
      </x:c>
      <x:c r="R973" s="17" t="n">
        <x:v>0.10232734680175781</x:v>
      </x:c>
      <x:c r="S973" s="14" t="str">
        <x:v>572f8c23b0cc2a6610dc7f5c6a6b26009d1d98d60fff1277d8b848b9ce281e29</x:v>
      </x:c>
      <x:c r="T973" s="14" t="str">
        <x:v>作者、高校或官方公开文件；保留原著版权页，具体使用条件见原文</x:v>
      </x:c>
      <x:c r="U973" s="19" t="n">
        <x:v>46303</x:v>
      </x:c>
    </x:row>
    <x:row r="974" ht="68" customHeight="1">
      <x:c r="A974" s="14" t="str">
        <x:v>D-RSA-MANUAL</x:v>
      </x:c>
      <x:c r="B974" s="14" t="str">
        <x:v>已内置</x:v>
      </x:c>
      <x:c r="C974" s="14" t="str">
        <x:v>响应面分析 R 参考手册 · RSA</x:v>
      </x:c>
      <x:c r="D974" s="14" t="str">
        <x:v>英文</x:v>
      </x:c>
      <x:c r="E974" s="15" t="str">
        <x:v>未处理</x:v>
      </x:c>
      <x:c r="F974" s="15"/>
      <x:c r="G974" s="16" t="str">
        <x:v>https://cran.r-project.org/web/packages/RSA/RSA.pdf</x:v>
      </x:c>
      <x:c r="H974" s="14" t="str">
        <x:v>D12</x:v>
      </x:c>
      <x:c r="I974" s="14" t="str">
        <x:v>Felix Schönbrodt &amp; Sarah Humberg</x:v>
      </x:c>
      <x:c r="J974" s="18" t="n">
        <x:v>2025</x:v>
      </x:c>
      <x:c r="K974" s="14" t="str">
        <x:v>官方参考手册</x:v>
      </x:c>
      <x:c r="L974" s="14" t="str">
        <x:v>优先</x:v>
      </x:c>
      <x:c r="M974" s="14" t="str">
        <x:v>完整 PDF 已验证，共 31 页。</x:v>
      </x:c>
      <x:c r="N974" s="14" t="str">
        <x:v>已随应用保存，可以离线阅读。</x:v>
      </x:c>
      <x:c r="O974" s="14" t="str">
        <x:v>先在目录中找 RSA 和 RSA.ST：前者说明拟合设置，后者说明 a1–a5、主轴及组合标准误。配合方法页的两条截面图阅读。当前手册对应 RSA 0.10.8。</x:v>
      </x:c>
      <x:c r="P974" s="14"/>
      <x:c r="Q974" s="14" t="str">
        <x:v>books/rsa-manual.pdf</x:v>
      </x:c>
      <x:c r="R974" s="17" t="n">
        <x:v>0.15283489227294922</x:v>
      </x:c>
      <x:c r="S974" s="14" t="str">
        <x:v>f0430a1c0d4f1f84e26a81c6ecfc40eecf54731cbc9ec9723fe887bc88c3180c</x:v>
      </x:c>
      <x:c r="T974" s="14" t="str">
        <x:v>RSA 包标注 GPL (&gt;= 2)；完整保留 CRAN 参考手册及声明。软件包与文档源文件见 CRAN。</x:v>
      </x:c>
      <x:c r="U974" s="19" t="d">
        <x:v>2026-10-09T00:00:00.000Z</x:v>
      </x:c>
    </x:row>
  </x:sheetData>
  <x:conditionalFormatting sqref="B9:B973">
    <x:cfRule type="containsText" dxfId="0" priority="1" operator="containsText" text="需人工获取"/>
    <x:cfRule type="containsText" dxfId="1" priority="2" operator="containsText" text="已内置"/>
  </x:conditionalFormatting>
  <x:conditionalFormatting sqref="E9:E973">
    <x:cfRule type="containsText" dxfId="2" priority="3" operator="containsText" text="已下载"/>
  </x:conditionalFormatting>
  <x:conditionalFormatting sqref="B974:B974">
    <x:cfRule type="containsText" dxfId="3" priority="4" operator="containsText" text="已内置"/>
  </x:conditionalFormatting>
  <x:conditionalFormatting sqref="E974:E974">
    <x:cfRule type="containsText" dxfId="4" priority="5" operator="containsText" text="已下载"/>
  </x:conditionalFormatting>
  <x:dataValidations count="2">
    <x:dataValidation type="list" sqref="E9:E973">
      <x:formula1>"未处理,已下载,无法获取,无需下载"</x:formula1>
    </x:dataValidation>
    <x:dataValidation type="list" sqref="E974">
      <x:formula1>"未处理,已下载,无法获取,无需下载"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620e62efa349ba"/>
  </x:tableParts>
</x:worksheet>
</file>